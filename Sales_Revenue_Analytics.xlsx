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n\Desktop\"/>
    </mc:Choice>
  </mc:AlternateContent>
  <xr:revisionPtr revIDLastSave="0" documentId="13_ncr:1_{A3B61129-A4F3-4F1C-999A-82D0690CC34B}" xr6:coauthVersionLast="47" xr6:coauthVersionMax="47" xr10:uidLastSave="{00000000-0000-0000-0000-000000000000}"/>
  <bookViews>
    <workbookView xWindow="-108" yWindow="-108" windowWidth="23256" windowHeight="12456" activeTab="3" xr2:uid="{B8A2F7DE-A32B-45A4-8B3B-35C7FD022652}"/>
  </bookViews>
  <sheets>
    <sheet name="Raw Data" sheetId="1" r:id="rId1"/>
    <sheet name="Calculations" sheetId="2" r:id="rId2"/>
    <sheet name="Pivot Tables" sheetId="3" r:id="rId3"/>
    <sheet name="Dashboard" sheetId="4" r:id="rId4"/>
  </sheets>
  <calcPr calcId="191029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B6" i="2"/>
  <c r="B4" i="2"/>
  <c r="N20" i="1"/>
  <c r="N32" i="1"/>
  <c r="N37" i="1"/>
  <c r="N40" i="1"/>
  <c r="N41" i="1"/>
  <c r="N42" i="1"/>
  <c r="N56" i="1"/>
  <c r="N68" i="1"/>
  <c r="N73" i="1"/>
  <c r="N74" i="1"/>
  <c r="N76" i="1"/>
  <c r="N77" i="1"/>
  <c r="N78" i="1"/>
  <c r="N104" i="1"/>
  <c r="N112" i="1"/>
  <c r="N140" i="1"/>
  <c r="N148" i="1"/>
  <c r="N149" i="1"/>
  <c r="N150" i="1"/>
  <c r="N176" i="1"/>
  <c r="N184" i="1"/>
  <c r="N185" i="1"/>
  <c r="N186" i="1"/>
  <c r="N200" i="1"/>
  <c r="N205" i="1"/>
  <c r="N220" i="1"/>
  <c r="N221" i="1"/>
  <c r="N222" i="1"/>
  <c r="N248" i="1"/>
  <c r="N256" i="1"/>
  <c r="N257" i="1"/>
  <c r="N258" i="1"/>
  <c r="N272" i="1"/>
  <c r="N284" i="1"/>
  <c r="N289" i="1"/>
  <c r="N290" i="1"/>
  <c r="N292" i="1"/>
  <c r="N293" i="1"/>
  <c r="N294" i="1"/>
  <c r="N320" i="1"/>
  <c r="N328" i="1"/>
  <c r="N364" i="1"/>
  <c r="N365" i="1"/>
  <c r="N366" i="1"/>
  <c r="N392" i="1"/>
  <c r="N400" i="1"/>
  <c r="N401" i="1"/>
  <c r="N402" i="1"/>
  <c r="N416" i="1"/>
  <c r="N421" i="1"/>
  <c r="N436" i="1"/>
  <c r="N437" i="1"/>
  <c r="N438" i="1"/>
  <c r="N464" i="1"/>
  <c r="N472" i="1"/>
  <c r="N473" i="1"/>
  <c r="N474" i="1"/>
  <c r="N488" i="1"/>
  <c r="N500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M33" i="1"/>
  <c r="N33" i="1" s="1"/>
  <c r="M34" i="1"/>
  <c r="N34" i="1" s="1"/>
  <c r="M35" i="1"/>
  <c r="N35" i="1" s="1"/>
  <c r="M36" i="1"/>
  <c r="N36" i="1" s="1"/>
  <c r="M37" i="1"/>
  <c r="M38" i="1"/>
  <c r="N38" i="1" s="1"/>
  <c r="M39" i="1"/>
  <c r="N39" i="1" s="1"/>
  <c r="M40" i="1"/>
  <c r="M41" i="1"/>
  <c r="M42" i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M69" i="1"/>
  <c r="N69" i="1" s="1"/>
  <c r="M70" i="1"/>
  <c r="N70" i="1" s="1"/>
  <c r="M71" i="1"/>
  <c r="N71" i="1" s="1"/>
  <c r="M72" i="1"/>
  <c r="N72" i="1" s="1"/>
  <c r="M73" i="1"/>
  <c r="M74" i="1"/>
  <c r="M75" i="1"/>
  <c r="N75" i="1" s="1"/>
  <c r="M76" i="1"/>
  <c r="M77" i="1"/>
  <c r="M78" i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M149" i="1"/>
  <c r="M150" i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M185" i="1"/>
  <c r="M186" i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M201" i="1"/>
  <c r="N201" i="1" s="1"/>
  <c r="M202" i="1"/>
  <c r="N202" i="1" s="1"/>
  <c r="M203" i="1"/>
  <c r="N203" i="1" s="1"/>
  <c r="M204" i="1"/>
  <c r="N204" i="1" s="1"/>
  <c r="M205" i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M221" i="1"/>
  <c r="M222" i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M257" i="1"/>
  <c r="M258" i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M285" i="1"/>
  <c r="N285" i="1" s="1"/>
  <c r="M286" i="1"/>
  <c r="N286" i="1" s="1"/>
  <c r="M287" i="1"/>
  <c r="N287" i="1" s="1"/>
  <c r="M288" i="1"/>
  <c r="N288" i="1" s="1"/>
  <c r="M289" i="1"/>
  <c r="M290" i="1"/>
  <c r="M291" i="1"/>
  <c r="N291" i="1" s="1"/>
  <c r="M292" i="1"/>
  <c r="M293" i="1"/>
  <c r="M294" i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M365" i="1"/>
  <c r="M366" i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M401" i="1"/>
  <c r="M402" i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M417" i="1"/>
  <c r="N417" i="1" s="1"/>
  <c r="M418" i="1"/>
  <c r="N418" i="1" s="1"/>
  <c r="M419" i="1"/>
  <c r="N419" i="1" s="1"/>
  <c r="M420" i="1"/>
  <c r="N420" i="1" s="1"/>
  <c r="M421" i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M437" i="1"/>
  <c r="M438" i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M473" i="1"/>
  <c r="M474" i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M501" i="1"/>
  <c r="N501" i="1" s="1"/>
  <c r="B3" i="2" l="1"/>
  <c r="B7" i="2" s="1"/>
  <c r="N2" i="1"/>
  <c r="B5" i="2" s="1"/>
</calcChain>
</file>

<file path=xl/sharedStrings.xml><?xml version="1.0" encoding="utf-8"?>
<sst xmlns="http://schemas.openxmlformats.org/spreadsheetml/2006/main" count="3594" uniqueCount="588">
  <si>
    <t>Order ID</t>
  </si>
  <si>
    <t>Order Date</t>
  </si>
  <si>
    <t>Customer</t>
  </si>
  <si>
    <t>Product</t>
  </si>
  <si>
    <t>Category</t>
  </si>
  <si>
    <t>Region</t>
  </si>
  <si>
    <t>Salesperson</t>
  </si>
  <si>
    <t>Quantity</t>
  </si>
  <si>
    <t>Unit Price</t>
  </si>
  <si>
    <t>Discount</t>
  </si>
  <si>
    <t>Payment Method</t>
  </si>
  <si>
    <t>Cost</t>
  </si>
  <si>
    <t>ORD-0001</t>
  </si>
  <si>
    <t>Royal Mart</t>
  </si>
  <si>
    <t>Smartphone</t>
  </si>
  <si>
    <t>Electronics</t>
  </si>
  <si>
    <t>North</t>
  </si>
  <si>
    <t>Vikram</t>
  </si>
  <si>
    <t>Net Banking</t>
  </si>
  <si>
    <t>ORD-0002</t>
  </si>
  <si>
    <t>Laptop</t>
  </si>
  <si>
    <t>South</t>
  </si>
  <si>
    <t>Neha</t>
  </si>
  <si>
    <t>Cash</t>
  </si>
  <si>
    <t>ORD-0003</t>
  </si>
  <si>
    <t>Future Mart</t>
  </si>
  <si>
    <t>Desk</t>
  </si>
  <si>
    <t>Furniture</t>
  </si>
  <si>
    <t>West</t>
  </si>
  <si>
    <t>Rahul</t>
  </si>
  <si>
    <t>Debit Card</t>
  </si>
  <si>
    <t>ORD-0004</t>
  </si>
  <si>
    <t>Lotus Enterprises</t>
  </si>
  <si>
    <t>Headphones</t>
  </si>
  <si>
    <t>Accessories</t>
  </si>
  <si>
    <t>East</t>
  </si>
  <si>
    <t>ORD-0005</t>
  </si>
  <si>
    <t>Crest Solutions</t>
  </si>
  <si>
    <t>ORD-0006</t>
  </si>
  <si>
    <t>Office Chair</t>
  </si>
  <si>
    <t>Arjun</t>
  </si>
  <si>
    <t>ORD-0007</t>
  </si>
  <si>
    <t>Innovate India</t>
  </si>
  <si>
    <t>Monitor</t>
  </si>
  <si>
    <t>UPI</t>
  </si>
  <si>
    <t>ORD-0008</t>
  </si>
  <si>
    <t>Tablet</t>
  </si>
  <si>
    <t>ORD-0009</t>
  </si>
  <si>
    <t>Galaxy Traders</t>
  </si>
  <si>
    <t>Priya</t>
  </si>
  <si>
    <t>ORD-0010</t>
  </si>
  <si>
    <t>ORD-0011</t>
  </si>
  <si>
    <t>Quantum Systems</t>
  </si>
  <si>
    <t>Credit Card</t>
  </si>
  <si>
    <t>ORD-0012</t>
  </si>
  <si>
    <t>Metro Stores</t>
  </si>
  <si>
    <t>ORD-0013</t>
  </si>
  <si>
    <t>ORD-0014</t>
  </si>
  <si>
    <t>ORD-0015</t>
  </si>
  <si>
    <t>ORD-0016</t>
  </si>
  <si>
    <t>Sunrise Supplies</t>
  </si>
  <si>
    <t>Backpack</t>
  </si>
  <si>
    <t>ORD-0017</t>
  </si>
  <si>
    <t>ORD-0018</t>
  </si>
  <si>
    <t>Webcam</t>
  </si>
  <si>
    <t>Sneha</t>
  </si>
  <si>
    <t>ORD-0019</t>
  </si>
  <si>
    <t>Kaveri Supplies</t>
  </si>
  <si>
    <t>ORD-0020</t>
  </si>
  <si>
    <t>Horizon Tech</t>
  </si>
  <si>
    <t>Keyboard</t>
  </si>
  <si>
    <t>ORD-0021</t>
  </si>
  <si>
    <t>ORD-0022</t>
  </si>
  <si>
    <t>Orion Traders</t>
  </si>
  <si>
    <t>ORD-0023</t>
  </si>
  <si>
    <t>ORD-0024</t>
  </si>
  <si>
    <t>Delta Stores</t>
  </si>
  <si>
    <t>ORD-0025</t>
  </si>
  <si>
    <t>ORD-0026</t>
  </si>
  <si>
    <t>Jupiter Retail</t>
  </si>
  <si>
    <t>ORD-0027</t>
  </si>
  <si>
    <t>ORD-0028</t>
  </si>
  <si>
    <t>ORD-0029</t>
  </si>
  <si>
    <t>ORD-0030</t>
  </si>
  <si>
    <t>ORD-0031</t>
  </si>
  <si>
    <t>Aarav Enterprises</t>
  </si>
  <si>
    <t>ORD-0032</t>
  </si>
  <si>
    <t>ORD-0033</t>
  </si>
  <si>
    <t>ORD-0034</t>
  </si>
  <si>
    <t>ORD-0035</t>
  </si>
  <si>
    <t>ORD-0036</t>
  </si>
  <si>
    <t>ORD-0037</t>
  </si>
  <si>
    <t>Evergreen Pvt Ltd</t>
  </si>
  <si>
    <t>ORD-0038</t>
  </si>
  <si>
    <t>ORD-0039</t>
  </si>
  <si>
    <t>ORD-0040</t>
  </si>
  <si>
    <t>ORD-0041</t>
  </si>
  <si>
    <t>ORD-0042</t>
  </si>
  <si>
    <t>ORD-0043</t>
  </si>
  <si>
    <t>ORD-0044</t>
  </si>
  <si>
    <t>Nova Solutions</t>
  </si>
  <si>
    <t>ORD-0045</t>
  </si>
  <si>
    <t>ORD-0046</t>
  </si>
  <si>
    <t>ORD-0047</t>
  </si>
  <si>
    <t>Vertex Solutions</t>
  </si>
  <si>
    <t>ORD-0048</t>
  </si>
  <si>
    <t>ORD-0049</t>
  </si>
  <si>
    <t>ORD-0050</t>
  </si>
  <si>
    <t>Prime Retail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</si>
  <si>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</si>
  <si>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</si>
  <si>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</si>
  <si>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</si>
  <si>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</si>
  <si>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</si>
  <si>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</si>
  <si>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</si>
  <si>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</si>
  <si>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</si>
  <si>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</si>
  <si>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</si>
  <si>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</si>
  <si>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</si>
  <si>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</si>
  <si>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</si>
  <si>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BlueSky Retail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</si>
  <si>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</si>
  <si>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</si>
  <si>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</si>
  <si>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</si>
  <si>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</si>
  <si>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</si>
  <si>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</si>
  <si>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</si>
  <si>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</si>
  <si>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</si>
  <si>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</si>
  <si>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</si>
  <si>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</si>
  <si>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</si>
  <si>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</si>
  <si>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</si>
  <si>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</si>
  <si>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</si>
  <si>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</si>
  <si>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</si>
  <si>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</si>
  <si>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</si>
  <si>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</si>
  <si>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</si>
  <si>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</si>
  <si>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</si>
  <si>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</si>
  <si>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</si>
  <si>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</si>
  <si>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</si>
  <si>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</si>
  <si>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</si>
  <si>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</si>
  <si>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</si>
  <si>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</si>
  <si>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</si>
  <si>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</si>
  <si>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</si>
  <si>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</si>
  <si>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</si>
  <si>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</si>
  <si>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</si>
  <si>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</si>
  <si>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</si>
  <si>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</si>
  <si>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</si>
  <si>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</si>
  <si>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</si>
  <si>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</si>
  <si>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</si>
  <si>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</si>
  <si>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</si>
  <si>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</si>
  <si>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</si>
  <si>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</si>
  <si>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</si>
  <si>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</si>
  <si>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</si>
  <si>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</si>
  <si>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</si>
  <si>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</si>
  <si>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</si>
  <si>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</si>
  <si>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</si>
  <si>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</si>
  <si>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</si>
  <si>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</si>
  <si>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</si>
  <si>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</si>
  <si>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</si>
  <si>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</si>
  <si>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</si>
  <si>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</si>
  <si>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</si>
  <si>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</si>
  <si>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</si>
  <si>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</si>
  <si>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</si>
  <si>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</si>
  <si>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</si>
  <si>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</si>
  <si>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</si>
  <si>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</si>
  <si>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</si>
  <si>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 xml:space="preserve">South 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</si>
  <si>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</si>
  <si>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</si>
  <si>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</si>
  <si>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</si>
  <si>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</si>
  <si>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</si>
  <si>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</si>
  <si>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</si>
  <si>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</si>
  <si>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</si>
  <si>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</si>
  <si>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</si>
  <si>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</si>
  <si>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</si>
  <si>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</si>
  <si>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</si>
  <si>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</si>
  <si>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</si>
  <si>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</si>
  <si>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</si>
  <si>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</si>
  <si>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</si>
  <si>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</si>
  <si>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</si>
  <si>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</si>
  <si>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</si>
  <si>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</si>
  <si>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</si>
  <si>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</si>
  <si>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</si>
  <si>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</si>
  <si>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</si>
  <si>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</si>
  <si>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</si>
  <si>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</si>
  <si>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</si>
  <si>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</si>
  <si>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</si>
  <si>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</si>
  <si>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</si>
  <si>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</si>
  <si>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</si>
  <si>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</si>
  <si>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</si>
  <si>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</si>
  <si>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</si>
  <si>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</si>
  <si>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</si>
  <si>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</si>
  <si>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</si>
  <si>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</si>
  <si>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</si>
  <si>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</si>
  <si>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</si>
  <si>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</si>
  <si>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</si>
  <si>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</si>
  <si>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</si>
  <si>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</si>
  <si>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</si>
  <si>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</si>
  <si>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</si>
  <si>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</si>
  <si>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</si>
  <si>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</si>
  <si>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</si>
  <si>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</si>
  <si>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</si>
  <si>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</si>
  <si>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</si>
  <si>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 xml:space="preserve">Laptop 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</si>
  <si>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</si>
  <si>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</si>
  <si>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</si>
  <si>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</si>
  <si>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</si>
  <si>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</si>
  <si>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</si>
  <si>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</si>
  <si>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</si>
  <si>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</si>
  <si>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</si>
  <si>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</si>
  <si>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</si>
  <si>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</si>
  <si>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</si>
  <si>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</si>
  <si>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</si>
  <si>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</si>
  <si>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</si>
  <si>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</si>
  <si>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</si>
  <si>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</si>
  <si>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</si>
  <si>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</si>
  <si>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</si>
  <si>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</si>
  <si>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</si>
  <si>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</si>
  <si>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</si>
  <si>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</si>
  <si>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</si>
  <si>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</si>
  <si>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</si>
  <si>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</si>
  <si>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</si>
  <si>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</si>
  <si>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</si>
  <si>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</si>
  <si>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</si>
  <si>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</si>
  <si>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</si>
  <si>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</si>
  <si>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</si>
  <si>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</si>
  <si>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</si>
  <si>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</si>
  <si>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</si>
  <si>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</si>
  <si>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</si>
  <si>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</si>
  <si>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</si>
  <si>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</si>
  <si>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</si>
  <si>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</si>
  <si>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</si>
  <si>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</si>
  <si>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</si>
  <si>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</si>
  <si>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</si>
  <si>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</si>
  <si>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</si>
  <si>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</si>
  <si>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</si>
  <si>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</si>
  <si>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</si>
  <si>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</si>
  <si>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</si>
  <si>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</si>
  <si>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</si>
  <si>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</si>
  <si>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</si>
  <si>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</si>
  <si>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</si>
  <si>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</si>
  <si>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</si>
  <si>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</si>
  <si>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</si>
  <si>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</si>
  <si>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</si>
  <si>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</si>
  <si>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</si>
  <si>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</si>
  <si>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</si>
  <si>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</si>
  <si>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</si>
  <si>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</si>
  <si>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</si>
  <si>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</si>
  <si>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</si>
  <si>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</si>
  <si>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</si>
  <si>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</si>
  <si>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</si>
  <si>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</si>
  <si>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</si>
  <si>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</si>
  <si>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</si>
  <si>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</si>
  <si>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</si>
  <si>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</si>
  <si>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</si>
  <si>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</si>
  <si>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</si>
  <si>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</si>
  <si>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</si>
  <si>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</si>
  <si>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</si>
  <si>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</si>
  <si>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</si>
  <si>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</si>
  <si>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</si>
  <si>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</si>
  <si>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</si>
  <si>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</si>
  <si>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</si>
  <si>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</si>
  <si>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</si>
  <si>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</si>
  <si>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</si>
  <si>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</si>
  <si>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</si>
  <si>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</si>
  <si>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</si>
  <si>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</si>
  <si>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</si>
  <si>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</si>
  <si>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</si>
  <si>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</si>
  <si>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</si>
  <si>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</si>
  <si>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</si>
  <si>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</si>
  <si>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</si>
  <si>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</si>
  <si>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</si>
  <si>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</si>
  <si>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</si>
  <si>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</si>
  <si>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</si>
  <si>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</si>
  <si>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</si>
  <si>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</si>
  <si>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</si>
  <si>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</si>
  <si>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</si>
  <si>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</si>
  <si>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</si>
  <si>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</si>
  <si>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</si>
  <si>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</si>
  <si>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</si>
  <si>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</si>
  <si>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</si>
  <si>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</si>
  <si>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</si>
  <si>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</si>
  <si>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</si>
  <si>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</si>
  <si>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</si>
  <si>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</si>
  <si>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</si>
  <si>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</si>
  <si>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</si>
  <si>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</si>
  <si>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</si>
  <si>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</si>
  <si>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</si>
  <si>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</si>
  <si>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</si>
  <si>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</si>
  <si>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</si>
  <si>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</si>
  <si>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</si>
  <si>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</si>
  <si>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</si>
  <si>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</si>
  <si>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</si>
  <si>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</si>
  <si>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</si>
  <si>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</si>
  <si>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</si>
  <si>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</si>
  <si>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</si>
  <si>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</si>
  <si>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</si>
  <si>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</si>
  <si>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</si>
  <si>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</si>
  <si>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</si>
  <si>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</si>
  <si>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</si>
  <si>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</si>
  <si>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</si>
  <si>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</si>
  <si>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</si>
  <si>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</si>
  <si>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</si>
  <si>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</si>
  <si>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</si>
  <si>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</si>
  <si>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</si>
  <si>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</si>
  <si>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</si>
  <si>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</si>
  <si>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</si>
  <si>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</si>
  <si>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</si>
  <si>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</si>
  <si>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</si>
  <si>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</si>
  <si>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</si>
  <si>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</si>
  <si>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</si>
  <si>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</si>
  <si>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</si>
  <si>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</si>
  <si>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</si>
  <si>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</si>
  <si>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</si>
  <si>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</si>
  <si>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</si>
  <si>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</si>
  <si>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</si>
  <si>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</si>
  <si>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</si>
  <si>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</si>
  <si>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</si>
  <si>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</si>
  <si>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</si>
  <si>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</si>
  <si>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</si>
  <si>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</si>
  <si>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</si>
  <si>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</si>
  <si>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</si>
  <si>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</si>
  <si>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</si>
  <si>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</si>
  <si>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</si>
  <si>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</si>
  <si>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</si>
  <si>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</si>
  <si>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</si>
  <si>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</si>
  <si>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</si>
  <si>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</si>
  <si>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</si>
  <si>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</si>
  <si>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</si>
  <si>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</si>
  <si>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</si>
  <si>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</si>
  <si>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</si>
  <si>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</si>
  <si>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</si>
  <si>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</si>
  <si>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</si>
  <si>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</si>
  <si>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</si>
  <si>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</si>
  <si>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</si>
  <si>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</si>
  <si>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</si>
  <si>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</si>
  <si>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</si>
  <si>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</si>
  <si>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</si>
  <si>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</si>
  <si>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</si>
  <si>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</si>
  <si>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</si>
  <si>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</si>
  <si>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</si>
  <si>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</si>
  <si>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</si>
  <si>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</si>
  <si>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</si>
  <si>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</si>
  <si>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</si>
  <si>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</si>
  <si>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Unknown Customer</t>
  </si>
  <si>
    <t>Unknown</t>
  </si>
  <si>
    <t>Revenue</t>
  </si>
  <si>
    <t>Profit</t>
  </si>
  <si>
    <t>Sales Revenue Analysis - Key Metrics</t>
  </si>
  <si>
    <t>Total Revenue</t>
  </si>
  <si>
    <t>Total Cost</t>
  </si>
  <si>
    <t>Total Profit</t>
  </si>
  <si>
    <t>Total Orders</t>
  </si>
  <si>
    <t>Average Order Value</t>
  </si>
  <si>
    <t>Row Labels</t>
  </si>
  <si>
    <t>Grand Total</t>
  </si>
  <si>
    <t>Sum of Revenue</t>
  </si>
  <si>
    <t>Column</t>
  </si>
  <si>
    <t>Sum of Profit</t>
  </si>
  <si>
    <t>SALES REVENUE ANALYTICS DASHBOARD</t>
  </si>
  <si>
    <t>TOTAL REVENUE
₹698.365.95</t>
  </si>
  <si>
    <t>TOTAL PROFIT
₹604,698.69</t>
  </si>
  <si>
    <t>TOTAL ORDERS
500</t>
  </si>
  <si>
    <t>KEY BUSINESS INSIGHTS</t>
  </si>
  <si>
    <t>PROFIT MARGIN
86.59%</t>
  </si>
  <si>
    <t>1. Electronics is the leading revenue category,generating approximately ₹513,345.</t>
  </si>
  <si>
    <t>2. South is the highest-revenue region, generating approximately  ₹185,554.</t>
  </si>
  <si>
    <t>3. Electronics also generates the highest profit, contributing approximately ₹444,674.</t>
  </si>
  <si>
    <t>4. Net Banking generates the highest revenue among payment methods,at approximately ₹171,455.</t>
  </si>
  <si>
    <t>5. The business generated approximately ₹604,699 profit from ₹698,366 revenue, resulting in an 86.59% profit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</si>
</sst>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Tables'!$A$19:$A$22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Tables'!$B$19:$B$22</c:f>
              <c:numCache>
                <c:formatCode>General</c:formatCode>
                <c:ptCount val="3"/>
                <c:pt idx="0">
                  <c:v>89033.257500000007</c:v>
                </c:pt>
                <c:pt idx="1">
                  <c:v>513345.08649999986</c:v>
                </c:pt>
                <c:pt idx="2">
                  <c:v>95987.604499999987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9-44E2-9A00-E022C6D5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263728"/>
        <c:axId val="1538994640"/>
      </c:barChart>
      <c:catAx>
        <c:axId val="16682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4640"/>
        <c:crosses val="autoZero"/>
        <c:auto val="1"/>
        <c:lblAlgn val="ctr"/>
        <c:lblOffset val="100"/>
        <c:noMultiLvlLbl val="0"/>
      </c:catAx>
      <c:valAx>
        <c:axId val="15389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Tables'!$A$27:$A$30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Tables'!$B$27:$B$30</c:f>
              <c:numCache>
                <c:formatCode>General</c:formatCode>
                <c:ptCount val="3"/>
                <c:pt idx="0">
                  <c:v>77233.237500000003</c:v>
                </c:pt>
                <c:pt idx="1">
                  <c:v>444673.88649999996</c:v>
                </c:pt>
                <c:pt idx="2">
                  <c:v>82791.564499999993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8-4615-A743-223BE0E4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5312"/>
        <c:axId val="1538962960"/>
      </c:barChart>
      <c:catAx>
        <c:axId val="16727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62960"/>
        <c:crosses val="autoZero"/>
        <c:auto val="1"/>
        <c:lblAlgn val="ctr"/>
        <c:lblOffset val="100"/>
        <c:noMultiLvlLbl val="0"/>
      </c:catAx>
      <c:valAx>
        <c:axId val="15389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Tables'!$A$35:$A$41</c:f>
              <c:strCache>
                <c:ptCount val="6"/>
                <c:pt idx="0">
                  <c:v>Arjun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Sneha</c:v>
                </c:pt>
                <c:pt idx="5">
                  <c:v>Vikram</c:v>
                </c:pt>
              </c:strCache>
            </c:strRef>
          </c:cat>
          <c:val>
            <c:numRef>
              <c:f>'Pivot Tables'!$B$35:$B$41</c:f>
              <c:numCache>
                <c:formatCode>General</c:formatCode>
                <c:ptCount val="6"/>
                <c:pt idx="0">
                  <c:v>106030.48449999998</c:v>
                </c:pt>
                <c:pt idx="1">
                  <c:v>129112.69800000002</c:v>
                </c:pt>
                <c:pt idx="2">
                  <c:v>139735.30450000009</c:v>
                </c:pt>
                <c:pt idx="3">
                  <c:v>107437.17500000003</c:v>
                </c:pt>
                <c:pt idx="4">
                  <c:v>100357.79350000006</c:v>
                </c:pt>
                <c:pt idx="5">
                  <c:v>115692.49299999999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F-42A6-B23B-76901EB1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688432"/>
        <c:axId val="1538953840"/>
      </c:barChart>
      <c:catAx>
        <c:axId val="168768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53840"/>
        <c:crosses val="autoZero"/>
        <c:auto val="1"/>
        <c:lblAlgn val="ctr"/>
        <c:lblOffset val="100"/>
        <c:noMultiLvlLbl val="0"/>
      </c:catAx>
      <c:valAx>
        <c:axId val="153895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Tables'!$A$45:$A$51</c:f>
              <c:strCache>
                <c:ptCount val="6"/>
                <c:pt idx="0">
                  <c:v>Arjun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Sneha</c:v>
                </c:pt>
                <c:pt idx="5">
                  <c:v>Vikram</c:v>
                </c:pt>
              </c:strCache>
            </c:strRef>
          </c:cat>
          <c:val>
            <c:numRef>
              <c:f>'Pivot Tables'!$B$45:$B$51</c:f>
              <c:numCache>
                <c:formatCode>General</c:formatCode>
                <c:ptCount val="6"/>
                <c:pt idx="0">
                  <c:v>92087.224500000026</c:v>
                </c:pt>
                <c:pt idx="1">
                  <c:v>111630.49799999999</c:v>
                </c:pt>
                <c:pt idx="2">
                  <c:v>121285.69450000006</c:v>
                </c:pt>
                <c:pt idx="3">
                  <c:v>93636.955000000031</c:v>
                </c:pt>
                <c:pt idx="4">
                  <c:v>85275.193499999965</c:v>
                </c:pt>
                <c:pt idx="5">
                  <c:v>100783.12300000001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3-47C8-B300-CA7D49639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287088"/>
        <c:axId val="1538940400"/>
      </c:barChart>
      <c:catAx>
        <c:axId val="173428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40400"/>
        <c:crosses val="autoZero"/>
        <c:auto val="1"/>
        <c:lblAlgn val="ctr"/>
        <c:lblOffset val="100"/>
        <c:noMultiLvlLbl val="0"/>
      </c:catAx>
      <c:valAx>
        <c:axId val="15389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176860.0990000001</c:v>
                </c:pt>
                <c:pt idx="1">
                  <c:v>160711.47850000014</c:v>
                </c:pt>
                <c:pt idx="2">
                  <c:v>185554.28799999991</c:v>
                </c:pt>
                <c:pt idx="3">
                  <c:v>175240.08299999996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1-46E8-A86D-2701CC6C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452112"/>
        <c:axId val="1538967760"/>
      </c:barChart>
      <c:catAx>
        <c:axId val="169145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67760"/>
        <c:crosses val="autoZero"/>
        <c:auto val="1"/>
        <c:lblAlgn val="ctr"/>
        <c:lblOffset val="100"/>
        <c:noMultiLvlLbl val="0"/>
      </c:catAx>
      <c:valAx>
        <c:axId val="15389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45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[Sales_Revenue_Analytics.xlsx]Pivot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Tables'!$A$55:$A$61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Unknown</c:v>
                </c:pt>
                <c:pt idx="5">
                  <c:v>UPI</c:v>
                </c:pt>
              </c:strCache>
            </c:strRef>
          </c:cat>
          <c:val>
            <c:numRef>
              <c:f>'Pivot Tables'!$B$55:$B$61</c:f>
              <c:numCache>
                <c:formatCode>General</c:formatCode>
                <c:ptCount val="6"/>
                <c:pt idx="0">
                  <c:v>150162.40100000004</c:v>
                </c:pt>
                <c:pt idx="1">
                  <c:v>114884.83100000002</c:v>
                </c:pt>
                <c:pt idx="2">
                  <c:v>130688.80300000001</c:v>
                </c:pt>
                <c:pt idx="3">
                  <c:v>170398.9265</c:v>
                </c:pt>
                <c:pt idx="4">
                  <c:v>843.91199999999992</c:v>
                </c:pt>
                <c:pt idx="5">
                  <c:v>131387.07500000001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E-4C31-B024-DA145D33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314000"/>
        <c:axId val="1538994160"/>
      </c:barChart>
      <c:catAx>
        <c:axId val="17343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4160"/>
        <c:crosses val="autoZero"/>
        <c:auto val="1"/>
        <c:lblAlgn val="ctr"/>
        <c:lblOffset val="100"/>
        <c:noMultiLvlLbl val="0"/>
      </c:catAx>
      <c:valAx>
        <c:axId val="15389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1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304800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AC886-1ACA-4B8C-ABD8-9EF068703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11</xdr:row>
      <xdr:rowOff>0</xdr:rowOff>
    </xdr:from>
    <xdr:to>
      <xdr:col>16</xdr:col>
      <xdr:colOff>7620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78A6B-430E-4004-AC2B-3AFF8A351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26</xdr:row>
      <xdr:rowOff>7620</xdr:rowOff>
    </xdr:from>
    <xdr:to>
      <xdr:col>8</xdr:col>
      <xdr:colOff>297180</xdr:colOff>
      <xdr:row>41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1F713-0A05-4098-92FE-92E7F453F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26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486E0A-CE75-488D-B369-C7D5B33FC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594360</xdr:colOff>
      <xdr:row>41</xdr:row>
      <xdr:rowOff>15240</xdr:rowOff>
    </xdr:from>
    <xdr:to>
      <xdr:col>8</xdr:col>
      <xdr:colOff>289560</xdr:colOff>
      <xdr:row>56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B29723-DCAA-4B03-886A-A824E6DA5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289560</xdr:colOff>
      <xdr:row>41</xdr:row>
      <xdr:rowOff>0</xdr:rowOff>
    </xdr:from>
    <xdr:to>
      <xdr:col>15</xdr:col>
      <xdr:colOff>594360</xdr:colOff>
      <xdr:row>56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5F8C41-F0B6-4B11-A06D-B5F82EB4E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jin SK" refreshedDate="46243.601886689816" createdVersion="8" refreshedVersion="8" minRefreshableVersion="3" recordCount="500" xr:uid="{DC5773D8-F8BB-472F-90E1-EBC1816B2664}">
  <cacheSource type="worksheet">
    <worksheetSource name="Table1"/>
  </cacheSource>
  <cacheFields count="15">
    <cacheField name="Order ID" numFmtId="0">
      <sharedItems/>
    </cacheField>
    <cacheField name="Order Date" numFmtId="164">
      <sharedItems containsSemiMixedTypes="0" containsNonDate="0" containsDate="1" containsString="0" minDate="2025-01-03T00:00:00" maxDate="2026-01-01T00:00:00"/>
    </cacheField>
    <cacheField name="Customer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Accessories"/>
      </sharedItems>
    </cacheField>
    <cacheField name="Region" numFmtId="0">
      <sharedItems/>
    </cacheField>
    <cacheField name="Salesperson" numFmtId="0">
      <sharedItems count="6">
        <s v="Vikram"/>
        <s v="Neha"/>
        <s v="Rahul"/>
        <s v="Arjun"/>
        <s v="Priya"/>
        <s v="Sneha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27.99" maxValue="892.25"/>
    </cacheField>
    <cacheField name="Discount" numFmtId="0">
      <sharedItems containsSemiMixedTypes="0" containsString="0" containsNumber="1" minValue="0" maxValue="0.2"/>
    </cacheField>
    <cacheField name="Payment Method" numFmtId="0">
      <sharedItems count="6">
        <s v="Net Banking"/>
        <s v="Cash"/>
        <s v="Debit Card"/>
        <s v="UPI"/>
        <s v="Credit Card"/>
        <s v="Unknown"/>
      </sharedItems>
    </cacheField>
    <cacheField name="Cost" numFmtId="0">
      <sharedItems containsSemiMixedTypes="0" containsString="0" containsNumber="1" minValue="17.059999999999999" maxValue="691.75"/>
    </cacheField>
    <cacheField name="Revenue" numFmtId="0">
      <sharedItems containsSemiMixedTypes="0" containsString="0" containsNumber="1" minValue="23.791499999999999" maxValue="8364.5"/>
    </cacheField>
    <cacheField name="Profit" numFmtId="0">
      <sharedItems containsSemiMixedTypes="0" containsString="0" containsNumber="1" minValue="3.002999999999993" maxValue="7894.22"/>
    </cacheField>
    <cacheField name="Colum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d v="2025-02-22T00:00:00"/>
    <s v="Royal Mart"/>
    <s v="Smartphone"/>
    <x v="0"/>
    <s v="North"/>
    <x v="0"/>
    <n v="5"/>
    <n v="310"/>
    <n v="0.05"/>
    <x v="0"/>
    <n v="189.18"/>
    <n v="1472.5"/>
    <n v="1283.32"/>
    <x v="0"/>
  </r>
  <r>
    <s v="ORD-0002"/>
    <d v="2025-01-14T00:00:00"/>
    <s v="Royal Mart"/>
    <s v="Laptop"/>
    <x v="0"/>
    <s v="South"/>
    <x v="1"/>
    <n v="4"/>
    <n v="657.45"/>
    <n v="0.05"/>
    <x v="1"/>
    <n v="451.3"/>
    <n v="2498.31"/>
    <n v="2047.01"/>
    <x v="1"/>
  </r>
  <r>
    <s v="ORD-0003"/>
    <d v="2025-01-04T00:00:00"/>
    <s v="Future Mart"/>
    <s v="Desk"/>
    <x v="1"/>
    <s v="West"/>
    <x v="2"/>
    <n v="10"/>
    <n v="144.09"/>
    <n v="0.1"/>
    <x v="2"/>
    <n v="110.74"/>
    <n v="1296.8100000000002"/>
    <n v="1186.0700000000002"/>
    <x v="2"/>
  </r>
  <r>
    <s v="ORD-0004"/>
    <d v="2025-02-19T00:00:00"/>
    <s v="Lotus Enterprises"/>
    <s v="Headphones"/>
    <x v="2"/>
    <s v="East"/>
    <x v="0"/>
    <n v="6"/>
    <n v="70.14"/>
    <n v="0"/>
    <x v="2"/>
    <n v="40.33"/>
    <n v="420.84000000000003"/>
    <n v="380.51000000000005"/>
    <x v="3"/>
  </r>
  <r>
    <s v="ORD-0005"/>
    <d v="2025-07-13T00:00:00"/>
    <s v="Crest Solutions"/>
    <s v="Laptop"/>
    <x v="0"/>
    <s v="East"/>
    <x v="1"/>
    <n v="9"/>
    <n v="832.43"/>
    <n v="0"/>
    <x v="1"/>
    <n v="676.55"/>
    <n v="7491.87"/>
    <n v="6815.32"/>
    <x v="3"/>
  </r>
  <r>
    <s v="ORD-0006"/>
    <d v="2025-05-29T00:00:00"/>
    <s v="Crest Solutions"/>
    <s v="Office Chair"/>
    <x v="1"/>
    <s v="South"/>
    <x v="3"/>
    <n v="2"/>
    <n v="252.79"/>
    <n v="0"/>
    <x v="0"/>
    <n v="184.17"/>
    <n v="505.58"/>
    <n v="321.40999999999997"/>
    <x v="1"/>
  </r>
  <r>
    <s v="ORD-0007"/>
    <d v="2025-04-18T00:00:00"/>
    <s v="Innovate India"/>
    <s v="Monitor"/>
    <x v="0"/>
    <s v="North"/>
    <x v="0"/>
    <n v="6"/>
    <n v="263.35000000000002"/>
    <n v="0.05"/>
    <x v="3"/>
    <n v="171.16"/>
    <n v="1501.095"/>
    <n v="1329.9349999999999"/>
    <x v="0"/>
  </r>
  <r>
    <s v="ORD-0008"/>
    <d v="2025-11-24T00:00:00"/>
    <s v="Royal Mart"/>
    <s v="Tablet"/>
    <x v="0"/>
    <s v="South"/>
    <x v="1"/>
    <n v="3"/>
    <n v="418.74"/>
    <n v="0.15"/>
    <x v="2"/>
    <n v="273.20999999999998"/>
    <n v="1067.787"/>
    <n v="794.577"/>
    <x v="1"/>
  </r>
  <r>
    <s v="ORD-0009"/>
    <d v="2025-02-03T00:00:00"/>
    <s v="Galaxy Traders"/>
    <s v="Laptop"/>
    <x v="0"/>
    <s v="East"/>
    <x v="4"/>
    <n v="1"/>
    <n v="707.26"/>
    <n v="0.1"/>
    <x v="0"/>
    <n v="465.6"/>
    <n v="636.53399999999999"/>
    <n v="170.93399999999997"/>
    <x v="3"/>
  </r>
  <r>
    <s v="ORD-0010"/>
    <d v="2025-05-07T00:00:00"/>
    <s v="Royal Mart"/>
    <s v="Desk"/>
    <x v="1"/>
    <s v="East"/>
    <x v="1"/>
    <n v="8"/>
    <n v="276.94"/>
    <n v="0.05"/>
    <x v="1"/>
    <n v="172.12"/>
    <n v="2104.7439999999997"/>
    <n v="1932.6239999999998"/>
    <x v="3"/>
  </r>
  <r>
    <s v="ORD-0011"/>
    <d v="2025-03-12T00:00:00"/>
    <s v="Quantum Systems"/>
    <s v="Desk"/>
    <x v="1"/>
    <s v="West"/>
    <x v="3"/>
    <n v="7"/>
    <n v="279.56"/>
    <n v="0.1"/>
    <x v="4"/>
    <n v="170.31"/>
    <n v="1761.2280000000001"/>
    <n v="1590.9180000000001"/>
    <x v="2"/>
  </r>
  <r>
    <s v="ORD-0012"/>
    <d v="2025-07-17T00:00:00"/>
    <s v="Metro Stores"/>
    <s v="Smartphone"/>
    <x v="0"/>
    <s v="West"/>
    <x v="0"/>
    <n v="3"/>
    <n v="361.14"/>
    <n v="0.15"/>
    <x v="2"/>
    <n v="256.77999999999997"/>
    <n v="920.90700000000004"/>
    <n v="664.12700000000007"/>
    <x v="2"/>
  </r>
  <r>
    <s v="ORD-0013"/>
    <d v="2025-10-02T00:00:00"/>
    <s v="Innovate India"/>
    <s v="Tablet"/>
    <x v="0"/>
    <s v="East"/>
    <x v="3"/>
    <n v="1"/>
    <n v="458.23"/>
    <n v="0"/>
    <x v="2"/>
    <n v="336.37"/>
    <n v="458.23"/>
    <n v="121.86000000000001"/>
    <x v="3"/>
  </r>
  <r>
    <s v="ORD-0014"/>
    <d v="2025-04-02T00:00:00"/>
    <s v="Quantum Systems"/>
    <s v="Desk"/>
    <x v="1"/>
    <s v="North"/>
    <x v="1"/>
    <n v="1"/>
    <n v="131.63"/>
    <n v="0.1"/>
    <x v="2"/>
    <n v="106.94"/>
    <n v="118.467"/>
    <n v="11.527000000000001"/>
    <x v="0"/>
  </r>
  <r>
    <s v="ORD-0015"/>
    <d v="2025-10-04T00:00:00"/>
    <s v="Quantum Systems"/>
    <s v="Tablet"/>
    <x v="0"/>
    <s v="North"/>
    <x v="0"/>
    <n v="3"/>
    <n v="382.69"/>
    <n v="0.1"/>
    <x v="2"/>
    <n v="289.27"/>
    <n v="1033.2629999999999"/>
    <n v="743.99299999999994"/>
    <x v="0"/>
  </r>
  <r>
    <s v="ORD-0016"/>
    <d v="2025-05-04T00:00:00"/>
    <s v="Sunrise Supplies"/>
    <s v="Backpack"/>
    <x v="2"/>
    <s v="North"/>
    <x v="3"/>
    <n v="6"/>
    <n v="31.75"/>
    <n v="0.1"/>
    <x v="0"/>
    <n v="19.52"/>
    <n v="171.45000000000002"/>
    <n v="151.93"/>
    <x v="0"/>
  </r>
  <r>
    <s v="ORD-0017"/>
    <d v="2025-09-01T00:00:00"/>
    <s v="Royal Mart"/>
    <s v="Smartphone"/>
    <x v="0"/>
    <s v="South"/>
    <x v="2"/>
    <n v="9"/>
    <n v="691.19"/>
    <n v="0.05"/>
    <x v="1"/>
    <n v="404.12"/>
    <n v="5909.674500000001"/>
    <n v="5505.5545000000011"/>
    <x v="1"/>
  </r>
  <r>
    <s v="ORD-0018"/>
    <d v="2025-12-20T00:00:00"/>
    <s v="Galaxy Traders"/>
    <s v="Webcam"/>
    <x v="2"/>
    <s v="East"/>
    <x v="5"/>
    <n v="4"/>
    <n v="83.66"/>
    <n v="0.2"/>
    <x v="2"/>
    <n v="63.07"/>
    <n v="267.71199999999999"/>
    <n v="204.642"/>
    <x v="3"/>
  </r>
  <r>
    <s v="ORD-0019"/>
    <d v="2025-02-02T00:00:00"/>
    <s v="Kaveri Supplies"/>
    <s v="Backpack"/>
    <x v="2"/>
    <s v="North"/>
    <x v="0"/>
    <n v="8"/>
    <n v="110.97"/>
    <n v="0"/>
    <x v="1"/>
    <n v="68.459999999999994"/>
    <n v="887.76"/>
    <n v="819.3"/>
    <x v="0"/>
  </r>
  <r>
    <s v="ORD-0020"/>
    <d v="2025-01-31T00:00:00"/>
    <s v="Horizon Tech"/>
    <s v="Keyboard"/>
    <x v="2"/>
    <s v="North"/>
    <x v="3"/>
    <n v="1"/>
    <n v="69.13"/>
    <n v="0"/>
    <x v="2"/>
    <n v="51.23"/>
    <n v="69.13"/>
    <n v="17.899999999999999"/>
    <x v="0"/>
  </r>
  <r>
    <s v="ORD-0021"/>
    <d v="2025-03-09T00:00:00"/>
    <s v="Sunrise Supplies"/>
    <s v="Smartphone"/>
    <x v="0"/>
    <s v="West"/>
    <x v="4"/>
    <n v="5"/>
    <n v="505.66"/>
    <n v="0.15"/>
    <x v="0"/>
    <n v="307.36"/>
    <n v="2149.0550000000003"/>
    <n v="1841.6950000000002"/>
    <x v="2"/>
  </r>
  <r>
    <s v="ORD-0022"/>
    <d v="2025-07-30T00:00:00"/>
    <s v="Orion Traders"/>
    <s v="Desk"/>
    <x v="1"/>
    <s v="North"/>
    <x v="1"/>
    <n v="2"/>
    <n v="138.08000000000001"/>
    <n v="0.15"/>
    <x v="4"/>
    <n v="89.15"/>
    <n v="234.73600000000002"/>
    <n v="145.58600000000001"/>
    <x v="0"/>
  </r>
  <r>
    <s v="ORD-0023"/>
    <d v="2025-04-08T00:00:00"/>
    <s v="Royal Mart"/>
    <s v="Laptop"/>
    <x v="0"/>
    <s v="West"/>
    <x v="4"/>
    <n v="6"/>
    <n v="750.66"/>
    <n v="0"/>
    <x v="0"/>
    <n v="463.26"/>
    <n v="4503.96"/>
    <n v="4040.7"/>
    <x v="2"/>
  </r>
  <r>
    <s v="ORD-0024"/>
    <d v="2025-10-09T00:00:00"/>
    <s v="Delta Stores"/>
    <s v="Headphones"/>
    <x v="2"/>
    <s v="North"/>
    <x v="1"/>
    <n v="4"/>
    <n v="79"/>
    <n v="0"/>
    <x v="1"/>
    <n v="52.9"/>
    <n v="316"/>
    <n v="263.10000000000002"/>
    <x v="0"/>
  </r>
  <r>
    <s v="ORD-0025"/>
    <d v="2025-09-04T00:00:00"/>
    <s v="Unknown Customer"/>
    <s v="Laptop"/>
    <x v="0"/>
    <s v="West"/>
    <x v="3"/>
    <n v="4"/>
    <n v="892.25"/>
    <n v="0.05"/>
    <x v="3"/>
    <n v="588.65"/>
    <n v="3390.5499999999997"/>
    <n v="2801.8999999999996"/>
    <x v="2"/>
  </r>
  <r>
    <s v="ORD-0026"/>
    <d v="2025-08-21T00:00:00"/>
    <s v="Jupiter Retail"/>
    <s v="Desk"/>
    <x v="1"/>
    <s v="West"/>
    <x v="1"/>
    <n v="7"/>
    <n v="100.43"/>
    <n v="0.1"/>
    <x v="1"/>
    <n v="80.36"/>
    <n v="632.70900000000006"/>
    <n v="552.34900000000005"/>
    <x v="2"/>
  </r>
  <r>
    <s v="ORD-0027"/>
    <d v="2025-10-24T00:00:00"/>
    <s v="Royal Mart"/>
    <s v="Backpack"/>
    <x v="2"/>
    <s v="North"/>
    <x v="1"/>
    <n v="5"/>
    <n v="43.93"/>
    <n v="0.05"/>
    <x v="2"/>
    <n v="35.65"/>
    <n v="208.66749999999999"/>
    <n v="173.01749999999998"/>
    <x v="0"/>
  </r>
  <r>
    <s v="ORD-0028"/>
    <d v="2025-09-29T00:00:00"/>
    <s v="Future Mart"/>
    <s v="Laptop"/>
    <x v="0"/>
    <s v="North"/>
    <x v="0"/>
    <n v="8"/>
    <n v="662.54"/>
    <n v="0.2"/>
    <x v="4"/>
    <n v="528.86"/>
    <n v="4240.2560000000003"/>
    <n v="3711.3960000000002"/>
    <x v="0"/>
  </r>
  <r>
    <s v="ORD-0029"/>
    <d v="2025-10-19T00:00:00"/>
    <s v="Horizon Tech"/>
    <s v="Headphones"/>
    <x v="2"/>
    <s v="North"/>
    <x v="0"/>
    <n v="2"/>
    <n v="49.59"/>
    <n v="0.05"/>
    <x v="4"/>
    <n v="32.68"/>
    <n v="94.221000000000004"/>
    <n v="61.541000000000004"/>
    <x v="0"/>
  </r>
  <r>
    <s v="ORD-0030"/>
    <d v="2025-05-14T00:00:00"/>
    <s v="Galaxy Traders"/>
    <s v="Desk"/>
    <x v="1"/>
    <s v="East"/>
    <x v="4"/>
    <n v="10"/>
    <n v="231.47"/>
    <n v="0.2"/>
    <x v="2"/>
    <n v="147.08000000000001"/>
    <n v="1851.76"/>
    <n v="1704.68"/>
    <x v="3"/>
  </r>
  <r>
    <s v="ORD-0031"/>
    <d v="2025-02-07T00:00:00"/>
    <s v="Aarav Enterprises"/>
    <s v="Desk"/>
    <x v="1"/>
    <s v="West"/>
    <x v="0"/>
    <n v="5"/>
    <n v="126.18"/>
    <n v="0.15"/>
    <x v="1"/>
    <n v="80.17"/>
    <n v="536.2650000000001"/>
    <n v="456.09500000000008"/>
    <x v="2"/>
  </r>
  <r>
    <s v="ORD-0032"/>
    <d v="2025-06-28T00:00:00"/>
    <s v="Crest Solutions"/>
    <s v="Smartphone"/>
    <x v="0"/>
    <s v="South"/>
    <x v="2"/>
    <n v="4"/>
    <n v="329.3"/>
    <n v="0.2"/>
    <x v="2"/>
    <n v="204.69"/>
    <n v="1053.76"/>
    <n v="849.06999999999994"/>
    <x v="1"/>
  </r>
  <r>
    <s v="ORD-0033"/>
    <d v="2025-12-01T00:00:00"/>
    <s v="Quantum Systems"/>
    <s v="Headphones"/>
    <x v="2"/>
    <s v="North"/>
    <x v="1"/>
    <n v="9"/>
    <n v="101.35"/>
    <n v="0.1"/>
    <x v="1"/>
    <n v="72.48"/>
    <n v="820.93499999999995"/>
    <n v="748.45499999999993"/>
    <x v="0"/>
  </r>
  <r>
    <s v="ORD-0034"/>
    <d v="2025-02-24T00:00:00"/>
    <s v="Royal Mart"/>
    <s v="Monitor"/>
    <x v="0"/>
    <s v="South"/>
    <x v="2"/>
    <n v="2"/>
    <n v="382.94"/>
    <n v="0.05"/>
    <x v="2"/>
    <n v="237.96"/>
    <n v="727.58600000000001"/>
    <n v="489.62599999999998"/>
    <x v="1"/>
  </r>
  <r>
    <s v="ORD-0035"/>
    <d v="2025-05-16T00:00:00"/>
    <s v="Quantum Systems"/>
    <s v="Webcam"/>
    <x v="2"/>
    <s v="West"/>
    <x v="2"/>
    <n v="6"/>
    <n v="59.22"/>
    <n v="0.05"/>
    <x v="4"/>
    <n v="43.56"/>
    <n v="337.55399999999997"/>
    <n v="293.99399999999997"/>
    <x v="2"/>
  </r>
  <r>
    <s v="ORD-0036"/>
    <d v="2025-03-08T00:00:00"/>
    <s v="Innovate India"/>
    <s v="Smartphone"/>
    <x v="0"/>
    <s v="South"/>
    <x v="1"/>
    <n v="5"/>
    <n v="553.71"/>
    <n v="0"/>
    <x v="0"/>
    <n v="305.07"/>
    <n v="2768.55"/>
    <n v="2463.48"/>
    <x v="1"/>
  </r>
  <r>
    <s v="ORD-0037"/>
    <d v="2025-12-20T00:00:00"/>
    <s v="Evergreen Pvt Ltd"/>
    <s v="Tablet"/>
    <x v="0"/>
    <s v="North"/>
    <x v="2"/>
    <n v="9"/>
    <n v="411.7"/>
    <n v="0"/>
    <x v="1"/>
    <n v="238.87"/>
    <n v="3705.2999999999997"/>
    <n v="3466.43"/>
    <x v="0"/>
  </r>
  <r>
    <s v="ORD-0038"/>
    <d v="2025-01-21T00:00:00"/>
    <s v="Lotus Enterprises"/>
    <s v="Tablet"/>
    <x v="0"/>
    <s v="South"/>
    <x v="1"/>
    <n v="3"/>
    <n v="244.43"/>
    <n v="0"/>
    <x v="3"/>
    <n v="154.78"/>
    <n v="733.29"/>
    <n v="578.51"/>
    <x v="1"/>
  </r>
  <r>
    <s v="ORD-0039"/>
    <d v="2025-03-21T00:00:00"/>
    <s v="Horizon Tech"/>
    <s v="Smartphone"/>
    <x v="0"/>
    <s v="South"/>
    <x v="4"/>
    <n v="9"/>
    <n v="441.47"/>
    <n v="0.15"/>
    <x v="0"/>
    <n v="358.89"/>
    <n v="3377.2455000000004"/>
    <n v="3018.3555000000006"/>
    <x v="1"/>
  </r>
  <r>
    <s v="ORD-0040"/>
    <d v="2025-05-08T00:00:00"/>
    <s v="Innovate India"/>
    <s v="Laptop"/>
    <x v="0"/>
    <s v="South"/>
    <x v="1"/>
    <n v="6"/>
    <n v="694.84"/>
    <n v="0.15"/>
    <x v="4"/>
    <n v="532.66999999999996"/>
    <n v="3543.6839999999997"/>
    <n v="3011.0139999999997"/>
    <x v="1"/>
  </r>
  <r>
    <s v="ORD-0041"/>
    <d v="2025-08-24T00:00:00"/>
    <s v="Lotus Enterprises"/>
    <s v="Desk"/>
    <x v="1"/>
    <s v="East"/>
    <x v="4"/>
    <n v="8"/>
    <n v="274.43"/>
    <n v="0.05"/>
    <x v="3"/>
    <n v="165.72"/>
    <n v="2085.6680000000001"/>
    <n v="1919.9480000000001"/>
    <x v="3"/>
  </r>
  <r>
    <s v="ORD-0042"/>
    <d v="2025-02-05T00:00:00"/>
    <s v="Innovate India"/>
    <s v="Laptop"/>
    <x v="0"/>
    <s v="East"/>
    <x v="1"/>
    <n v="7"/>
    <n v="815.01"/>
    <n v="0.1"/>
    <x v="1"/>
    <n v="509.56"/>
    <n v="5134.5630000000001"/>
    <n v="4625.0029999999997"/>
    <x v="3"/>
  </r>
  <r>
    <s v="ORD-0043"/>
    <d v="2025-03-01T00:00:00"/>
    <s v="Innovate India"/>
    <s v="Desk"/>
    <x v="1"/>
    <s v="South"/>
    <x v="0"/>
    <n v="9"/>
    <n v="235.9"/>
    <n v="0.1"/>
    <x v="2"/>
    <n v="189.57"/>
    <n v="1910.79"/>
    <n v="1721.22"/>
    <x v="1"/>
  </r>
  <r>
    <s v="ORD-0044"/>
    <d v="2025-06-10T00:00:00"/>
    <s v="Nova Solutions"/>
    <s v="Laptop"/>
    <x v="0"/>
    <s v="North"/>
    <x v="5"/>
    <n v="7"/>
    <n v="677.1"/>
    <n v="0.1"/>
    <x v="1"/>
    <n v="505.6"/>
    <n v="4265.7299999999996"/>
    <n v="3760.1299999999997"/>
    <x v="0"/>
  </r>
  <r>
    <s v="ORD-0045"/>
    <d v="2025-10-03T00:00:00"/>
    <s v="Galaxy Traders"/>
    <s v="Keyboard"/>
    <x v="2"/>
    <s v="East"/>
    <x v="5"/>
    <n v="7"/>
    <n v="44.1"/>
    <n v="0"/>
    <x v="4"/>
    <n v="30.45"/>
    <n v="308.7"/>
    <n v="278.25"/>
    <x v="3"/>
  </r>
  <r>
    <s v="ORD-0046"/>
    <d v="2025-12-08T00:00:00"/>
    <s v="Nova Solutions"/>
    <s v="Office Chair"/>
    <x v="1"/>
    <s v="East"/>
    <x v="5"/>
    <n v="2"/>
    <n v="263.33"/>
    <n v="0.1"/>
    <x v="2"/>
    <n v="180.89"/>
    <n v="473.99399999999997"/>
    <n v="293.10399999999998"/>
    <x v="3"/>
  </r>
  <r>
    <s v="ORD-0047"/>
    <d v="2025-03-31T00:00:00"/>
    <s v="Vertex Solutions"/>
    <s v="Tablet"/>
    <x v="0"/>
    <s v="East"/>
    <x v="5"/>
    <n v="7"/>
    <n v="238.19"/>
    <n v="0.15"/>
    <x v="1"/>
    <n v="174.56"/>
    <n v="1417.2304999999999"/>
    <n v="1242.6704999999999"/>
    <x v="3"/>
  </r>
  <r>
    <s v="ORD-0048"/>
    <d v="2025-11-07T00:00:00"/>
    <s v="Kaveri Supplies"/>
    <s v="Laptop"/>
    <x v="0"/>
    <s v="West"/>
    <x v="5"/>
    <n v="4"/>
    <n v="725.97"/>
    <n v="0.15"/>
    <x v="0"/>
    <n v="553.29999999999995"/>
    <n v="2468.2980000000002"/>
    <n v="1914.9980000000003"/>
    <x v="2"/>
  </r>
  <r>
    <s v="ORD-0049"/>
    <d v="2025-12-06T00:00:00"/>
    <s v="Vertex Solutions"/>
    <s v="Keyboard"/>
    <x v="2"/>
    <s v="East"/>
    <x v="3"/>
    <n v="3"/>
    <n v="63.34"/>
    <n v="0"/>
    <x v="3"/>
    <n v="39.69"/>
    <n v="190.02"/>
    <n v="150.33000000000001"/>
    <x v="3"/>
  </r>
  <r>
    <s v="ORD-0050"/>
    <d v="2025-05-06T00:00:00"/>
    <s v="Prime Retail"/>
    <s v="Monitor"/>
    <x v="0"/>
    <s v="North"/>
    <x v="5"/>
    <n v="4"/>
    <n v="206.16"/>
    <n v="0.05"/>
    <x v="0"/>
    <n v="114.75"/>
    <n v="783.4079999999999"/>
    <n v="668.6579999999999"/>
    <x v="0"/>
  </r>
  <r>
    <s v="ORD-0051"/>
    <d v="2025-03-17T00:00:00"/>
    <s v="Aarav Enterprises"/>
    <s v="Webcam"/>
    <x v="2"/>
    <s v="North"/>
    <x v="5"/>
    <n v="7"/>
    <n v="57.36"/>
    <n v="0.15"/>
    <x v="3"/>
    <n v="37.74"/>
    <n v="341.29199999999997"/>
    <n v="303.55199999999996"/>
    <x v="0"/>
  </r>
  <r>
    <s v="ORD-0052"/>
    <d v="2025-05-08T00:00:00"/>
    <s v="Delta Stores"/>
    <s v="Headphones"/>
    <x v="2"/>
    <s v="West"/>
    <x v="4"/>
    <n v="9"/>
    <n v="152.58000000000001"/>
    <n v="0.15"/>
    <x v="0"/>
    <n v="85.99"/>
    <n v="1167.2370000000001"/>
    <n v="1081.2470000000001"/>
    <x v="2"/>
  </r>
  <r>
    <s v="ORD-0053"/>
    <d v="2025-08-15T00:00:00"/>
    <s v="Vertex Solutions"/>
    <s v="Tablet"/>
    <x v="0"/>
    <s v="West"/>
    <x v="0"/>
    <n v="10"/>
    <n v="496.37"/>
    <n v="0.1"/>
    <x v="0"/>
    <n v="400.33"/>
    <n v="4467.33"/>
    <n v="4067"/>
    <x v="2"/>
  </r>
  <r>
    <s v="ORD-0054"/>
    <d v="2025-05-07T00:00:00"/>
    <s v="Innovate India"/>
    <s v="Headphones"/>
    <x v="2"/>
    <s v="West"/>
    <x v="1"/>
    <n v="8"/>
    <n v="144.11000000000001"/>
    <n v="0.15"/>
    <x v="3"/>
    <n v="89.35"/>
    <n v="979.94800000000009"/>
    <n v="890.59800000000007"/>
    <x v="2"/>
  </r>
  <r>
    <s v="ORD-0055"/>
    <d v="2025-06-13T00:00:00"/>
    <s v="Royal Mart"/>
    <s v="Monitor"/>
    <x v="0"/>
    <s v="North"/>
    <x v="4"/>
    <n v="5"/>
    <n v="259.97000000000003"/>
    <n v="0.05"/>
    <x v="3"/>
    <n v="162.06"/>
    <n v="1234.8575000000001"/>
    <n v="1072.7975000000001"/>
    <x v="0"/>
  </r>
  <r>
    <s v="ORD-0056"/>
    <d v="2025-07-28T00:00:00"/>
    <s v="Kaveri Supplies"/>
    <s v="Keyboard"/>
    <x v="2"/>
    <s v="West"/>
    <x v="5"/>
    <n v="3"/>
    <n v="53.73"/>
    <n v="0.05"/>
    <x v="4"/>
    <n v="30.48"/>
    <n v="153.13049999999998"/>
    <n v="122.65049999999998"/>
    <x v="2"/>
  </r>
  <r>
    <s v="ORD-0057"/>
    <d v="2025-01-11T00:00:00"/>
    <s v="Sunrise Supplies"/>
    <s v="Keyboard"/>
    <x v="2"/>
    <s v="West"/>
    <x v="5"/>
    <n v="7"/>
    <n v="87.47"/>
    <n v="0.2"/>
    <x v="4"/>
    <n v="70.45"/>
    <n v="489.83199999999999"/>
    <n v="419.38200000000001"/>
    <x v="2"/>
  </r>
  <r>
    <s v="ORD-0058"/>
    <d v="2025-10-07T00:00:00"/>
    <s v="Vertex Solutions"/>
    <s v="Office Chair"/>
    <x v="1"/>
    <s v="South"/>
    <x v="5"/>
    <n v="7"/>
    <n v="188.68"/>
    <n v="0.15"/>
    <x v="3"/>
    <n v="131.19"/>
    <n v="1122.646"/>
    <n v="991.4559999999999"/>
    <x v="1"/>
  </r>
  <r>
    <s v="ORD-0059"/>
    <d v="2025-12-14T00:00:00"/>
    <s v="Metro Stores"/>
    <s v="Monitor"/>
    <x v="0"/>
    <s v="South"/>
    <x v="5"/>
    <n v="1"/>
    <n v="258.95999999999998"/>
    <n v="0.15"/>
    <x v="3"/>
    <n v="165.93"/>
    <n v="220.11599999999999"/>
    <n v="54.185999999999979"/>
    <x v="1"/>
  </r>
  <r>
    <s v="ORD-0060"/>
    <d v="2025-01-14T00:00:00"/>
    <s v="Crest Solutions"/>
    <s v="Webcam"/>
    <x v="2"/>
    <s v="West"/>
    <x v="4"/>
    <n v="7"/>
    <n v="96.42"/>
    <n v="0.2"/>
    <x v="0"/>
    <n v="67.72"/>
    <n v="539.95200000000011"/>
    <n v="472.23200000000008"/>
    <x v="2"/>
  </r>
  <r>
    <s v="ORD-0061"/>
    <d v="2025-06-17T00:00:00"/>
    <s v="Kaveri Supplies"/>
    <s v="Headphones"/>
    <x v="2"/>
    <s v="West"/>
    <x v="2"/>
    <n v="7"/>
    <n v="47.04"/>
    <n v="0.1"/>
    <x v="0"/>
    <n v="28.56"/>
    <n v="296.35199999999998"/>
    <n v="267.79199999999997"/>
    <x v="2"/>
  </r>
  <r>
    <s v="ORD-0062"/>
    <d v="2025-01-27T00:00:00"/>
    <s v="Lotus Enterprises"/>
    <s v="Monitor"/>
    <x v="0"/>
    <s v="South"/>
    <x v="1"/>
    <n v="8"/>
    <n v="358.73"/>
    <n v="0"/>
    <x v="4"/>
    <n v="269.85000000000002"/>
    <n v="2869.84"/>
    <n v="2599.9900000000002"/>
    <x v="1"/>
  </r>
  <r>
    <s v="ORD-0063"/>
    <d v="2025-11-15T00:00:00"/>
    <s v="Evergreen Pvt Ltd"/>
    <s v="Laptop"/>
    <x v="0"/>
    <s v="South"/>
    <x v="4"/>
    <n v="4"/>
    <n v="838.56"/>
    <n v="0.05"/>
    <x v="0"/>
    <n v="651.22"/>
    <n v="3186.5279999999998"/>
    <n v="2535.308"/>
    <x v="1"/>
  </r>
  <r>
    <s v="ORD-0064"/>
    <d v="2025-07-08T00:00:00"/>
    <s v="Future Mart"/>
    <s v="Smartphone"/>
    <x v="0"/>
    <s v="North"/>
    <x v="4"/>
    <n v="4"/>
    <n v="525.59"/>
    <n v="0.15"/>
    <x v="2"/>
    <n v="388.34"/>
    <n v="1787.0060000000001"/>
    <n v="1398.6660000000002"/>
    <x v="0"/>
  </r>
  <r>
    <s v="ORD-0065"/>
    <d v="2025-07-12T00:00:00"/>
    <s v="Metro Stores"/>
    <s v="Smartphone"/>
    <x v="0"/>
    <s v="South"/>
    <x v="3"/>
    <n v="5"/>
    <n v="531.47"/>
    <n v="0.2"/>
    <x v="1"/>
    <n v="389.51"/>
    <n v="2125.8800000000006"/>
    <n v="1736.3700000000006"/>
    <x v="1"/>
  </r>
  <r>
    <s v="ORD-0066"/>
    <d v="2025-10-17T00:00:00"/>
    <s v="BlueSky Retail"/>
    <s v="Keyboard"/>
    <x v="2"/>
    <s v="East"/>
    <x v="0"/>
    <n v="5"/>
    <n v="32.64"/>
    <n v="0.2"/>
    <x v="0"/>
    <n v="25.05"/>
    <n v="130.56"/>
    <n v="105.51"/>
    <x v="3"/>
  </r>
  <r>
    <s v="ORD-0067"/>
    <d v="2025-09-08T00:00:00"/>
    <s v="Delta Stores"/>
    <s v="Office Chair"/>
    <x v="1"/>
    <s v="West"/>
    <x v="2"/>
    <n v="6"/>
    <n v="135.86000000000001"/>
    <n v="0"/>
    <x v="0"/>
    <n v="105.89"/>
    <n v="815.16000000000008"/>
    <n v="709.2700000000001"/>
    <x v="2"/>
  </r>
  <r>
    <s v="ORD-0068"/>
    <d v="2025-10-03T00:00:00"/>
    <s v="Prime Retail"/>
    <s v="Headphones"/>
    <x v="2"/>
    <s v="West"/>
    <x v="5"/>
    <n v="9"/>
    <n v="100.97"/>
    <n v="0.1"/>
    <x v="1"/>
    <n v="72.319999999999993"/>
    <n v="817.85700000000008"/>
    <n v="745.53700000000003"/>
    <x v="2"/>
  </r>
  <r>
    <s v="ORD-0069"/>
    <d v="2025-08-19T00:00:00"/>
    <s v="Horizon Tech"/>
    <s v="Monitor"/>
    <x v="0"/>
    <s v="West"/>
    <x v="0"/>
    <n v="4"/>
    <n v="230.58"/>
    <n v="0"/>
    <x v="1"/>
    <n v="144.18"/>
    <n v="922.32"/>
    <n v="778.1400000000001"/>
    <x v="2"/>
  </r>
  <r>
    <s v="ORD-0070"/>
    <d v="2025-04-19T00:00:00"/>
    <s v="Lotus Enterprises"/>
    <s v="Desk"/>
    <x v="1"/>
    <s v="East"/>
    <x v="2"/>
    <n v="8"/>
    <n v="167.28"/>
    <n v="0.1"/>
    <x v="2"/>
    <n v="100.22"/>
    <n v="1204.4159999999999"/>
    <n v="1104.1959999999999"/>
    <x v="3"/>
  </r>
  <r>
    <s v="ORD-0071"/>
    <d v="2025-04-08T00:00:00"/>
    <s v="Crest Solutions"/>
    <s v="Webcam"/>
    <x v="2"/>
    <s v="South"/>
    <x v="1"/>
    <n v="5"/>
    <n v="115.64"/>
    <n v="0.2"/>
    <x v="0"/>
    <n v="63.92"/>
    <n v="462.56000000000006"/>
    <n v="398.64000000000004"/>
    <x v="1"/>
  </r>
  <r>
    <s v="ORD-0072"/>
    <d v="2025-09-09T00:00:00"/>
    <s v="Orion Traders"/>
    <s v="Backpack"/>
    <x v="2"/>
    <s v="North"/>
    <x v="3"/>
    <n v="4"/>
    <n v="79.97"/>
    <n v="0.15"/>
    <x v="2"/>
    <n v="57.93"/>
    <n v="271.89799999999997"/>
    <n v="213.96799999999996"/>
    <x v="0"/>
  </r>
  <r>
    <s v="ORD-0073"/>
    <d v="2025-07-08T00:00:00"/>
    <s v="Prime Retail"/>
    <s v="Keyboard"/>
    <x v="2"/>
    <s v="East"/>
    <x v="5"/>
    <n v="4"/>
    <n v="55.33"/>
    <n v="0.1"/>
    <x v="1"/>
    <n v="40.35"/>
    <n v="199.18799999999999"/>
    <n v="158.83799999999999"/>
    <x v="3"/>
  </r>
  <r>
    <s v="ORD-0074"/>
    <d v="2025-04-29T00:00:00"/>
    <s v="Delta Stores"/>
    <s v="Office Chair"/>
    <x v="1"/>
    <s v="South"/>
    <x v="2"/>
    <n v="8"/>
    <n v="200.92"/>
    <n v="0.1"/>
    <x v="4"/>
    <n v="127.14"/>
    <n v="1446.624"/>
    <n v="1319.4839999999999"/>
    <x v="1"/>
  </r>
  <r>
    <s v="ORD-0075"/>
    <d v="2025-09-05T00:00:00"/>
    <s v="Innovate India"/>
    <s v="Tablet"/>
    <x v="0"/>
    <s v="East"/>
    <x v="3"/>
    <n v="3"/>
    <n v="485.26"/>
    <n v="0.05"/>
    <x v="3"/>
    <n v="295.24"/>
    <n v="1382.991"/>
    <n v="1087.751"/>
    <x v="3"/>
  </r>
  <r>
    <s v="ORD-0076"/>
    <d v="2025-10-01T00:00:00"/>
    <s v="Evergreen Pvt Ltd"/>
    <s v="Monitor"/>
    <x v="0"/>
    <s v="East"/>
    <x v="3"/>
    <n v="3"/>
    <n v="206.87"/>
    <n v="0.1"/>
    <x v="4"/>
    <n v="114.57"/>
    <n v="558.54899999999998"/>
    <n v="443.97899999999998"/>
    <x v="3"/>
  </r>
  <r>
    <s v="ORD-0077"/>
    <d v="2025-01-07T00:00:00"/>
    <s v="Sunrise Supplies"/>
    <s v="Tablet"/>
    <x v="0"/>
    <s v="East"/>
    <x v="5"/>
    <n v="3"/>
    <n v="287.64"/>
    <n v="0.15"/>
    <x v="0"/>
    <n v="166.17"/>
    <n v="733.48199999999997"/>
    <n v="567.31200000000001"/>
    <x v="3"/>
  </r>
  <r>
    <s v="ORD-0078"/>
    <d v="2025-09-02T00:00:00"/>
    <s v="Delta Stores"/>
    <s v="Backpack"/>
    <x v="2"/>
    <s v="North"/>
    <x v="5"/>
    <n v="1"/>
    <n v="60.66"/>
    <n v="0.1"/>
    <x v="0"/>
    <n v="48.78"/>
    <n v="54.594000000000001"/>
    <n v="5.8140000000000001"/>
    <x v="0"/>
  </r>
  <r>
    <s v="ORD-0079"/>
    <d v="2025-10-16T00:00:00"/>
    <s v="Jupiter Retail"/>
    <s v="Smartphone"/>
    <x v="0"/>
    <s v="North"/>
    <x v="4"/>
    <n v="1"/>
    <n v="530.80999999999995"/>
    <n v="0.05"/>
    <x v="4"/>
    <n v="313.33"/>
    <n v="504.26949999999994"/>
    <n v="190.93949999999995"/>
    <x v="0"/>
  </r>
  <r>
    <s v="ORD-0080"/>
    <d v="2025-04-26T00:00:00"/>
    <s v="Quantum Systems"/>
    <s v="Tablet"/>
    <x v="0"/>
    <s v="West"/>
    <x v="5"/>
    <n v="10"/>
    <n v="429.33"/>
    <n v="0.2"/>
    <x v="0"/>
    <n v="327.79"/>
    <n v="3434.6400000000003"/>
    <n v="3106.8500000000004"/>
    <x v="2"/>
  </r>
  <r>
    <s v="ORD-0081"/>
    <d v="2025-01-31T00:00:00"/>
    <s v="Vertex Solutions"/>
    <s v="Monitor"/>
    <x v="0"/>
    <s v="North"/>
    <x v="4"/>
    <n v="7"/>
    <n v="365.04"/>
    <n v="0.1"/>
    <x v="3"/>
    <n v="256.82"/>
    <n v="2299.7520000000004"/>
    <n v="2042.9320000000005"/>
    <x v="0"/>
  </r>
  <r>
    <s v="ORD-0082"/>
    <d v="2025-02-08T00:00:00"/>
    <s v="Future Mart"/>
    <s v="Monitor"/>
    <x v="0"/>
    <s v="North"/>
    <x v="5"/>
    <n v="3"/>
    <n v="315.11"/>
    <n v="0.05"/>
    <x v="0"/>
    <n v="188.1"/>
    <n v="898.06349999999998"/>
    <n v="709.96349999999995"/>
    <x v="0"/>
  </r>
  <r>
    <s v="ORD-0083"/>
    <d v="2025-05-25T00:00:00"/>
    <s v="Orion Traders"/>
    <s v="Webcam"/>
    <x v="2"/>
    <s v="North"/>
    <x v="1"/>
    <n v="1"/>
    <n v="89.04"/>
    <n v="0.05"/>
    <x v="3"/>
    <n v="55.9"/>
    <n v="84.588000000000008"/>
    <n v="28.688000000000009"/>
    <x v="0"/>
  </r>
  <r>
    <s v="ORD-0084"/>
    <d v="2025-10-06T00:00:00"/>
    <s v="Horizon Tech"/>
    <s v="Monitor"/>
    <x v="0"/>
    <s v="South"/>
    <x v="2"/>
    <n v="10"/>
    <n v="346.96"/>
    <n v="0.05"/>
    <x v="3"/>
    <n v="230.65"/>
    <n v="3296.12"/>
    <n v="3065.47"/>
    <x v="1"/>
  </r>
  <r>
    <s v="ORD-0085"/>
    <d v="2025-10-19T00:00:00"/>
    <s v="Jupiter Retail"/>
    <s v="Smartphone"/>
    <x v="0"/>
    <s v="West"/>
    <x v="3"/>
    <n v="5"/>
    <n v="323.86"/>
    <n v="0.2"/>
    <x v="0"/>
    <n v="243.61"/>
    <n v="1295.4400000000003"/>
    <n v="1051.8300000000004"/>
    <x v="2"/>
  </r>
  <r>
    <s v="ORD-0086"/>
    <d v="2025-08-13T00:00:00"/>
    <s v="Crest Solutions"/>
    <s v="Monitor"/>
    <x v="0"/>
    <s v="North"/>
    <x v="5"/>
    <n v="5"/>
    <n v="324.93"/>
    <n v="0.2"/>
    <x v="2"/>
    <n v="226.08"/>
    <n v="1299.7200000000003"/>
    <n v="1073.6400000000003"/>
    <x v="0"/>
  </r>
  <r>
    <s v="ORD-0087"/>
    <d v="2025-10-22T00:00:00"/>
    <s v="Sunrise Supplies"/>
    <s v="Webcam"/>
    <x v="2"/>
    <s v="North"/>
    <x v="1"/>
    <n v="2"/>
    <n v="63.79"/>
    <n v="0.05"/>
    <x v="2"/>
    <n v="51.65"/>
    <n v="121.20099999999999"/>
    <n v="69.550999999999988"/>
    <x v="0"/>
  </r>
  <r>
    <s v="ORD-0088"/>
    <d v="2025-08-15T00:00:00"/>
    <s v="Innovate India"/>
    <s v="Webcam"/>
    <x v="2"/>
    <s v="South"/>
    <x v="0"/>
    <n v="3"/>
    <n v="39.630000000000003"/>
    <n v="0.15"/>
    <x v="0"/>
    <n v="27.35"/>
    <n v="101.05650000000001"/>
    <n v="73.706500000000005"/>
    <x v="1"/>
  </r>
  <r>
    <s v="ORD-0089"/>
    <d v="2025-06-14T00:00:00"/>
    <s v="Delta Stores"/>
    <s v="Backpack"/>
    <x v="2"/>
    <s v="South"/>
    <x v="2"/>
    <n v="8"/>
    <n v="117.21"/>
    <n v="0.1"/>
    <x v="5"/>
    <n v="77.39"/>
    <n v="843.91199999999992"/>
    <n v="766.52199999999993"/>
    <x v="1"/>
  </r>
  <r>
    <s v="ORD-0090"/>
    <d v="2025-02-15T00:00:00"/>
    <s v="Kaveri Supplies"/>
    <s v="Backpack"/>
    <x v="2"/>
    <s v="East"/>
    <x v="2"/>
    <n v="7"/>
    <n v="55.94"/>
    <n v="0.2"/>
    <x v="4"/>
    <n v="31.32"/>
    <n v="313.26400000000001"/>
    <n v="281.94400000000002"/>
    <x v="3"/>
  </r>
  <r>
    <s v="ORD-0091"/>
    <d v="2025-01-28T00:00:00"/>
    <s v="Galaxy Traders"/>
    <s v="Desk"/>
    <x v="1"/>
    <s v="East"/>
    <x v="0"/>
    <n v="1"/>
    <n v="272.98"/>
    <n v="0.2"/>
    <x v="0"/>
    <n v="184.19"/>
    <n v="218.38400000000001"/>
    <n v="34.194000000000017"/>
    <x v="3"/>
  </r>
  <r>
    <s v="ORD-0092"/>
    <d v="2025-05-28T00:00:00"/>
    <s v="Orion Traders"/>
    <s v="Backpack"/>
    <x v="2"/>
    <s v="West"/>
    <x v="3"/>
    <n v="4"/>
    <n v="98.4"/>
    <n v="0.1"/>
    <x v="4"/>
    <n v="68.709999999999994"/>
    <n v="354.24"/>
    <n v="285.53000000000003"/>
    <x v="2"/>
  </r>
  <r>
    <s v="ORD-0093"/>
    <d v="2025-10-10T00:00:00"/>
    <s v="Nova Solutions"/>
    <s v="Webcam"/>
    <x v="2"/>
    <s v="North"/>
    <x v="4"/>
    <n v="3"/>
    <n v="126.92"/>
    <n v="0.1"/>
    <x v="4"/>
    <n v="88.68"/>
    <n v="342.68400000000003"/>
    <n v="254.00400000000002"/>
    <x v="0"/>
  </r>
  <r>
    <s v="ORD-0094"/>
    <d v="2025-05-30T00:00:00"/>
    <s v="Quantum Systems"/>
    <s v="Backpack"/>
    <x v="2"/>
    <s v="East"/>
    <x v="5"/>
    <n v="3"/>
    <n v="115.24"/>
    <n v="0.15"/>
    <x v="0"/>
    <n v="92.4"/>
    <n v="293.86199999999997"/>
    <n v="201.46199999999996"/>
    <x v="3"/>
  </r>
  <r>
    <s v="ORD-0095"/>
    <d v="2025-11-03T00:00:00"/>
    <s v="Quantum Systems"/>
    <s v="Backpack"/>
    <x v="2"/>
    <s v="South"/>
    <x v="3"/>
    <n v="9"/>
    <n v="51.94"/>
    <n v="0.05"/>
    <x v="2"/>
    <n v="33.950000000000003"/>
    <n v="444.08699999999993"/>
    <n v="410.13699999999994"/>
    <x v="1"/>
  </r>
  <r>
    <s v="ORD-0096"/>
    <d v="2025-05-25T00:00:00"/>
    <s v="Jupiter Retail"/>
    <s v="Desk"/>
    <x v="1"/>
    <s v="West"/>
    <x v="4"/>
    <n v="9"/>
    <n v="167.98"/>
    <n v="0.1"/>
    <x v="0"/>
    <n v="129.6"/>
    <n v="1360.6379999999999"/>
    <n v="1231.038"/>
    <x v="2"/>
  </r>
  <r>
    <s v="ORD-0097"/>
    <d v="2025-07-13T00:00:00"/>
    <s v="Orion Traders"/>
    <s v="Tablet"/>
    <x v="0"/>
    <s v="East"/>
    <x v="4"/>
    <n v="6"/>
    <n v="345.3"/>
    <n v="0.2"/>
    <x v="3"/>
    <n v="261.04000000000002"/>
    <n v="1657.4400000000003"/>
    <n v="1396.4000000000003"/>
    <x v="3"/>
  </r>
  <r>
    <s v="ORD-0098"/>
    <d v="2025-08-31T00:00:00"/>
    <s v="Metro Stores"/>
    <s v="Webcam"/>
    <x v="2"/>
    <s v="West"/>
    <x v="1"/>
    <n v="7"/>
    <n v="79.040000000000006"/>
    <n v="0"/>
    <x v="3"/>
    <n v="50.26"/>
    <n v="553.28000000000009"/>
    <n v="503.0200000000001"/>
    <x v="2"/>
  </r>
  <r>
    <s v="ORD-0099"/>
    <d v="2025-06-19T00:00:00"/>
    <s v="Delta Stores"/>
    <s v="Backpack"/>
    <x v="2"/>
    <s v="West"/>
    <x v="3"/>
    <n v="3"/>
    <n v="116.83"/>
    <n v="0.2"/>
    <x v="1"/>
    <n v="94.71"/>
    <n v="280.392"/>
    <n v="185.68200000000002"/>
    <x v="2"/>
  </r>
  <r>
    <s v="ORD-0100"/>
    <d v="2025-03-21T00:00:00"/>
    <s v="Crest Solutions"/>
    <s v="Backpack"/>
    <x v="2"/>
    <s v="West"/>
    <x v="2"/>
    <n v="3"/>
    <n v="31.38"/>
    <n v="0.15"/>
    <x v="2"/>
    <n v="24.64"/>
    <n v="80.019000000000005"/>
    <n v="55.379000000000005"/>
    <x v="2"/>
  </r>
  <r>
    <s v="ORD-0101"/>
    <d v="2025-10-01T00:00:00"/>
    <s v="Metro Stores"/>
    <s v="Webcam"/>
    <x v="2"/>
    <s v="East"/>
    <x v="1"/>
    <n v="2"/>
    <n v="114.66"/>
    <n v="0.1"/>
    <x v="0"/>
    <n v="89.45"/>
    <n v="206.38800000000001"/>
    <n v="116.938"/>
    <x v="3"/>
  </r>
  <r>
    <s v="ORD-0102"/>
    <d v="2025-05-28T00:00:00"/>
    <s v="Horizon Tech"/>
    <s v="Tablet"/>
    <x v="0"/>
    <s v="North"/>
    <x v="5"/>
    <n v="2"/>
    <n v="210.77"/>
    <n v="0.05"/>
    <x v="4"/>
    <n v="151.84"/>
    <n v="400.46300000000002"/>
    <n v="248.62300000000002"/>
    <x v="0"/>
  </r>
  <r>
    <s v="ORD-0103"/>
    <d v="2025-01-29T00:00:00"/>
    <s v="Jupiter Retail"/>
    <s v="Smartphone"/>
    <x v="0"/>
    <s v="East"/>
    <x v="2"/>
    <n v="5"/>
    <n v="477.47"/>
    <n v="0"/>
    <x v="0"/>
    <n v="268.54000000000002"/>
    <n v="2387.3500000000004"/>
    <n v="2118.8100000000004"/>
    <x v="3"/>
  </r>
  <r>
    <s v="ORD-0104"/>
    <d v="2025-04-03T00:00:00"/>
    <s v="Future Mart"/>
    <s v="Headphones"/>
    <x v="2"/>
    <s v="South"/>
    <x v="3"/>
    <n v="7"/>
    <n v="74.19"/>
    <n v="0.2"/>
    <x v="1"/>
    <n v="54.46"/>
    <n v="415.46399999999994"/>
    <n v="361.00399999999996"/>
    <x v="1"/>
  </r>
  <r>
    <s v="ORD-0105"/>
    <d v="2025-03-15T00:00:00"/>
    <s v="Horizon Tech"/>
    <s v="Desk"/>
    <x v="1"/>
    <s v="West"/>
    <x v="1"/>
    <n v="4"/>
    <n v="223.94"/>
    <n v="0.15"/>
    <x v="2"/>
    <n v="178.36"/>
    <n v="761.39599999999996"/>
    <n v="583.03599999999994"/>
    <x v="2"/>
  </r>
  <r>
    <s v="ORD-0106"/>
    <d v="2025-12-13T00:00:00"/>
    <s v="Royal Mart"/>
    <s v="Backpack"/>
    <x v="2"/>
    <s v="South"/>
    <x v="3"/>
    <n v="1"/>
    <n v="52.98"/>
    <n v="0.15"/>
    <x v="0"/>
    <n v="42.03"/>
    <n v="45.032999999999994"/>
    <n v="3.002999999999993"/>
    <x v="1"/>
  </r>
  <r>
    <s v="ORD-0107"/>
    <d v="2025-08-22T00:00:00"/>
    <s v="Jupiter Retail"/>
    <s v="Office Chair"/>
    <x v="1"/>
    <s v="South"/>
    <x v="5"/>
    <n v="5"/>
    <n v="347.16"/>
    <n v="0.15"/>
    <x v="0"/>
    <n v="255.64"/>
    <n v="1475.43"/>
    <n v="1219.79"/>
    <x v="1"/>
  </r>
  <r>
    <s v="ORD-0108"/>
    <d v="2025-12-25T00:00:00"/>
    <s v="Jupiter Retail"/>
    <s v="Smartphone"/>
    <x v="0"/>
    <s v="North"/>
    <x v="1"/>
    <n v="10"/>
    <n v="394.88"/>
    <n v="0.1"/>
    <x v="0"/>
    <n v="278.47000000000003"/>
    <n v="3553.92"/>
    <n v="3275.45"/>
    <x v="0"/>
  </r>
  <r>
    <s v="ORD-0109"/>
    <d v="2025-05-27T00:00:00"/>
    <s v="Horizon Tech"/>
    <s v="Monitor"/>
    <x v="0"/>
    <s v="East"/>
    <x v="4"/>
    <n v="1"/>
    <n v="152.02000000000001"/>
    <n v="0.2"/>
    <x v="3"/>
    <n v="114.2"/>
    <n v="121.61600000000001"/>
    <n v="7.416000000000011"/>
    <x v="3"/>
  </r>
  <r>
    <s v="ORD-0110"/>
    <d v="2025-11-27T00:00:00"/>
    <s v="BlueSky Retail"/>
    <s v="Webcam"/>
    <x v="2"/>
    <s v="East"/>
    <x v="5"/>
    <n v="3"/>
    <n v="63.82"/>
    <n v="0"/>
    <x v="4"/>
    <n v="50.67"/>
    <n v="191.46"/>
    <n v="140.79000000000002"/>
    <x v="3"/>
  </r>
  <r>
    <s v="ORD-0111"/>
    <d v="2025-06-17T00:00:00"/>
    <s v="Nova Solutions"/>
    <s v="Webcam"/>
    <x v="2"/>
    <s v="South"/>
    <x v="4"/>
    <n v="3"/>
    <n v="76.959999999999994"/>
    <n v="0"/>
    <x v="3"/>
    <n v="61.23"/>
    <n v="230.88"/>
    <n v="169.65"/>
    <x v="1"/>
  </r>
  <r>
    <s v="ORD-0112"/>
    <d v="2025-05-20T00:00:00"/>
    <s v="Future Mart"/>
    <s v="Tablet"/>
    <x v="0"/>
    <s v="East"/>
    <x v="5"/>
    <n v="6"/>
    <n v="462.94"/>
    <n v="0.2"/>
    <x v="2"/>
    <n v="317.33999999999997"/>
    <n v="2222.1120000000001"/>
    <n v="1904.7720000000002"/>
    <x v="3"/>
  </r>
  <r>
    <s v="ORD-0113"/>
    <d v="2025-04-26T00:00:00"/>
    <s v="Metro Stores"/>
    <s v="Office Chair"/>
    <x v="1"/>
    <s v="East"/>
    <x v="3"/>
    <n v="8"/>
    <n v="304.97000000000003"/>
    <n v="0"/>
    <x v="0"/>
    <n v="179.32"/>
    <n v="2439.7600000000002"/>
    <n v="2260.44"/>
    <x v="3"/>
  </r>
  <r>
    <s v="ORD-0114"/>
    <d v="2025-12-11T00:00:00"/>
    <s v="Innovate India"/>
    <s v="Laptop"/>
    <x v="0"/>
    <s v="West"/>
    <x v="1"/>
    <n v="2"/>
    <n v="716.11"/>
    <n v="0.15"/>
    <x v="2"/>
    <n v="465.13"/>
    <n v="1217.3869999999999"/>
    <n v="752.25699999999995"/>
    <x v="2"/>
  </r>
  <r>
    <s v="ORD-0115"/>
    <d v="2025-10-15T00:00:00"/>
    <s v="Kaveri Supplies"/>
    <s v="Smartphone"/>
    <x v="0"/>
    <s v="South"/>
    <x v="1"/>
    <n v="8"/>
    <n v="569.92999999999995"/>
    <n v="0"/>
    <x v="4"/>
    <n v="408.8"/>
    <n v="4559.4399999999996"/>
    <n v="4150.6399999999994"/>
    <x v="1"/>
  </r>
  <r>
    <s v="ORD-0116"/>
    <d v="2025-01-24T00:00:00"/>
    <s v="BlueSky Retail"/>
    <s v="Backpack"/>
    <x v="2"/>
    <s v="East"/>
    <x v="5"/>
    <n v="5"/>
    <n v="111.84"/>
    <n v="0.15"/>
    <x v="4"/>
    <n v="65.040000000000006"/>
    <n v="475.32000000000005"/>
    <n v="410.28000000000003"/>
    <x v="3"/>
  </r>
  <r>
    <s v="ORD-0117"/>
    <d v="2025-07-09T00:00:00"/>
    <s v="Royal Mart"/>
    <s v="Smartphone"/>
    <x v="0"/>
    <s v="West"/>
    <x v="0"/>
    <n v="9"/>
    <n v="393.92"/>
    <n v="0.05"/>
    <x v="3"/>
    <n v="257.99"/>
    <n v="3368.0160000000001"/>
    <n v="3110.0259999999998"/>
    <x v="2"/>
  </r>
  <r>
    <s v="ORD-0118"/>
    <d v="2025-05-24T00:00:00"/>
    <s v="BlueSky Retail"/>
    <s v="Desk"/>
    <x v="1"/>
    <s v="East"/>
    <x v="4"/>
    <n v="8"/>
    <n v="230.98"/>
    <n v="0.2"/>
    <x v="0"/>
    <n v="152.49"/>
    <n v="1478.2719999999999"/>
    <n v="1325.7819999999999"/>
    <x v="3"/>
  </r>
  <r>
    <s v="ORD-0119"/>
    <d v="2025-07-08T00:00:00"/>
    <s v="Royal Mart"/>
    <s v="Backpack"/>
    <x v="2"/>
    <s v="East"/>
    <x v="3"/>
    <n v="6"/>
    <n v="115.55"/>
    <n v="0"/>
    <x v="0"/>
    <n v="94.16"/>
    <n v="693.3"/>
    <n v="599.14"/>
    <x v="3"/>
  </r>
  <r>
    <s v="ORD-0120"/>
    <d v="2025-04-19T00:00:00"/>
    <s v="Vertex Solutions"/>
    <s v="Monitor"/>
    <x v="0"/>
    <s v="North"/>
    <x v="3"/>
    <n v="2"/>
    <n v="197.45"/>
    <n v="0.15"/>
    <x v="2"/>
    <n v="113.48"/>
    <n v="335.66499999999996"/>
    <n v="222.18499999999995"/>
    <x v="0"/>
  </r>
  <r>
    <s v="ORD-0121"/>
    <d v="2025-10-11T00:00:00"/>
    <s v="Galaxy Traders"/>
    <s v="Keyboard"/>
    <x v="2"/>
    <s v="South"/>
    <x v="4"/>
    <n v="10"/>
    <n v="99.16"/>
    <n v="0.05"/>
    <x v="2"/>
    <n v="56.37"/>
    <n v="942.01999999999987"/>
    <n v="885.64999999999986"/>
    <x v="1"/>
  </r>
  <r>
    <s v="ORD-0122"/>
    <d v="2025-03-16T00:00:00"/>
    <s v="Evergreen Pvt Ltd"/>
    <s v="Headphones"/>
    <x v="2"/>
    <s v="East"/>
    <x v="4"/>
    <n v="10"/>
    <n v="150.41"/>
    <n v="0"/>
    <x v="4"/>
    <n v="93.99"/>
    <n v="1504.1"/>
    <n v="1410.11"/>
    <x v="3"/>
  </r>
  <r>
    <s v="ORD-0123"/>
    <d v="2025-01-09T00:00:00"/>
    <s v="Future Mart"/>
    <s v="Laptop"/>
    <x v="0"/>
    <s v="East"/>
    <x v="3"/>
    <n v="6"/>
    <n v="682.95"/>
    <n v="0.05"/>
    <x v="3"/>
    <n v="484.2"/>
    <n v="3892.8150000000005"/>
    <n v="3408.6150000000007"/>
    <x v="3"/>
  </r>
  <r>
    <s v="ORD-0124"/>
    <d v="2025-07-05T00:00:00"/>
    <s v="Quantum Systems"/>
    <s v="Desk"/>
    <x v="1"/>
    <s v="North"/>
    <x v="5"/>
    <n v="2"/>
    <n v="205.22"/>
    <n v="0.15"/>
    <x v="1"/>
    <n v="137.71"/>
    <n v="348.87399999999997"/>
    <n v="211.16399999999996"/>
    <x v="0"/>
  </r>
  <r>
    <s v="ORD-0125"/>
    <d v="2025-11-26T00:00:00"/>
    <s v="Aarav Enterprises"/>
    <s v="Keyboard"/>
    <x v="2"/>
    <s v="North"/>
    <x v="5"/>
    <n v="1"/>
    <n v="95.91"/>
    <n v="0.2"/>
    <x v="0"/>
    <n v="60.56"/>
    <n v="76.727999999999994"/>
    <n v="16.167999999999992"/>
    <x v="0"/>
  </r>
  <r>
    <s v="ORD-0126"/>
    <d v="2025-02-11T00:00:00"/>
    <s v="Kaveri Supplies"/>
    <s v="Desk"/>
    <x v="1"/>
    <s v="South"/>
    <x v="3"/>
    <n v="8"/>
    <n v="237.22"/>
    <n v="0.15"/>
    <x v="3"/>
    <n v="135.18"/>
    <n v="1613.096"/>
    <n v="1477.9159999999999"/>
    <x v="1"/>
  </r>
  <r>
    <s v="ORD-0127"/>
    <d v="2025-07-15T00:00:00"/>
    <s v="Vertex Solutions"/>
    <s v="Monitor"/>
    <x v="0"/>
    <s v="East"/>
    <x v="5"/>
    <n v="10"/>
    <n v="306.08"/>
    <n v="0.2"/>
    <x v="1"/>
    <n v="227.2"/>
    <n v="2448.64"/>
    <n v="2221.44"/>
    <x v="3"/>
  </r>
  <r>
    <s v="ORD-0128"/>
    <d v="2025-04-21T00:00:00"/>
    <s v="Nova Solutions"/>
    <s v="Webcam"/>
    <x v="2"/>
    <s v="West"/>
    <x v="4"/>
    <n v="2"/>
    <n v="84.47"/>
    <n v="0.2"/>
    <x v="0"/>
    <n v="62.9"/>
    <n v="135.15200000000002"/>
    <n v="72.25200000000001"/>
    <x v="2"/>
  </r>
  <r>
    <s v="ORD-0129"/>
    <d v="2025-06-10T00:00:00"/>
    <s v="Nova Solutions"/>
    <s v="Office Chair"/>
    <x v="1"/>
    <s v="East"/>
    <x v="1"/>
    <n v="7"/>
    <n v="310.31"/>
    <n v="0.15"/>
    <x v="2"/>
    <n v="231.8"/>
    <n v="1846.3444999999999"/>
    <n v="1614.5445"/>
    <x v="3"/>
  </r>
  <r>
    <s v="ORD-0130"/>
    <d v="2025-02-13T00:00:00"/>
    <s v="Crest Solutions"/>
    <s v="Office Chair"/>
    <x v="1"/>
    <s v="West"/>
    <x v="3"/>
    <n v="8"/>
    <n v="339.33"/>
    <n v="0"/>
    <x v="2"/>
    <n v="194.99"/>
    <n v="2714.64"/>
    <n v="2519.6499999999996"/>
    <x v="2"/>
  </r>
  <r>
    <s v="ORD-0131"/>
    <d v="2025-12-10T00:00:00"/>
    <s v="Delta Stores"/>
    <s v="Headphones"/>
    <x v="2"/>
    <s v="West"/>
    <x v="2"/>
    <n v="10"/>
    <n v="117.89"/>
    <n v="0.2"/>
    <x v="0"/>
    <n v="82.72"/>
    <n v="943.12000000000012"/>
    <n v="860.40000000000009"/>
    <x v="2"/>
  </r>
  <r>
    <s v="ORD-0132"/>
    <d v="2025-10-23T00:00:00"/>
    <s v="Quantum Systems"/>
    <s v="Laptop"/>
    <x v="0"/>
    <s v="South"/>
    <x v="4"/>
    <n v="10"/>
    <n v="892.1"/>
    <n v="0.1"/>
    <x v="0"/>
    <n v="575.35"/>
    <n v="8028.9000000000005"/>
    <n v="7453.55"/>
    <x v="1"/>
  </r>
  <r>
    <s v="ORD-0133"/>
    <d v="2025-05-23T00:00:00"/>
    <s v="Sunrise Supplies"/>
    <s v="Keyboard"/>
    <x v="2"/>
    <s v="South"/>
    <x v="5"/>
    <n v="6"/>
    <n v="88.55"/>
    <n v="0.2"/>
    <x v="1"/>
    <n v="57.49"/>
    <n v="425.03999999999996"/>
    <n v="367.54999999999995"/>
    <x v="1"/>
  </r>
  <r>
    <s v="ORD-0134"/>
    <d v="2025-12-03T00:00:00"/>
    <s v="Innovate India"/>
    <s v="Webcam"/>
    <x v="2"/>
    <s v="North"/>
    <x v="4"/>
    <n v="9"/>
    <n v="105.56"/>
    <n v="0"/>
    <x v="2"/>
    <n v="75.42"/>
    <n v="950.04"/>
    <n v="874.62"/>
    <x v="0"/>
  </r>
  <r>
    <s v="ORD-0135"/>
    <d v="2025-03-15T00:00:00"/>
    <s v="Sunrise Supplies"/>
    <s v="Monitor"/>
    <x v="0"/>
    <s v="West"/>
    <x v="3"/>
    <n v="6"/>
    <n v="380.38"/>
    <n v="0"/>
    <x v="3"/>
    <n v="227.84"/>
    <n v="2282.2799999999997"/>
    <n v="2054.4399999999996"/>
    <x v="2"/>
  </r>
  <r>
    <s v="ORD-0136"/>
    <d v="2025-08-21T00:00:00"/>
    <s v="Kaveri Supplies"/>
    <s v="Laptop"/>
    <x v="0"/>
    <s v="South"/>
    <x v="2"/>
    <n v="9"/>
    <n v="672.94"/>
    <n v="0.05"/>
    <x v="2"/>
    <n v="438.47"/>
    <n v="5753.6370000000006"/>
    <n v="5315.1670000000004"/>
    <x v="1"/>
  </r>
  <r>
    <s v="ORD-0137"/>
    <d v="2025-01-27T00:00:00"/>
    <s v="Evergreen Pvt Ltd"/>
    <s v="Office Chair"/>
    <x v="1"/>
    <s v="South"/>
    <x v="0"/>
    <n v="10"/>
    <n v="298.67"/>
    <n v="0.2"/>
    <x v="4"/>
    <n v="171.12"/>
    <n v="2389.36"/>
    <n v="2218.2400000000002"/>
    <x v="1"/>
  </r>
  <r>
    <s v="ORD-0138"/>
    <d v="2025-08-01T00:00:00"/>
    <s v="Innovate India"/>
    <s v="Smartphone"/>
    <x v="0"/>
    <s v="South"/>
    <x v="0"/>
    <n v="7"/>
    <n v="408.84"/>
    <n v="0.15"/>
    <x v="4"/>
    <n v="291.88"/>
    <n v="2432.5979999999995"/>
    <n v="2140.7179999999994"/>
    <x v="1"/>
  </r>
  <r>
    <s v="ORD-0139"/>
    <d v="2025-12-08T00:00:00"/>
    <s v="Jupiter Retail"/>
    <s v="Office Chair"/>
    <x v="1"/>
    <s v="North"/>
    <x v="4"/>
    <n v="5"/>
    <n v="218.88"/>
    <n v="0.2"/>
    <x v="0"/>
    <n v="149.13999999999999"/>
    <n v="875.5200000000001"/>
    <n v="726.38000000000011"/>
    <x v="0"/>
  </r>
  <r>
    <s v="ORD-0140"/>
    <d v="2025-03-12T00:00:00"/>
    <s v="Innovate India"/>
    <s v="Webcam"/>
    <x v="2"/>
    <s v="East"/>
    <x v="2"/>
    <n v="4"/>
    <n v="41.3"/>
    <n v="0.1"/>
    <x v="4"/>
    <n v="33.26"/>
    <n v="148.68"/>
    <n v="115.42000000000002"/>
    <x v="3"/>
  </r>
  <r>
    <s v="ORD-0141"/>
    <d v="2025-09-30T00:00:00"/>
    <s v="Horizon Tech"/>
    <s v="Laptop"/>
    <x v="0"/>
    <s v="East"/>
    <x v="3"/>
    <n v="7"/>
    <n v="774.35"/>
    <n v="0.05"/>
    <x v="0"/>
    <n v="452.9"/>
    <n v="5149.4274999999998"/>
    <n v="4696.5275000000001"/>
    <x v="3"/>
  </r>
  <r>
    <s v="ORD-0142"/>
    <d v="2025-10-22T00:00:00"/>
    <s v="Nova Solutions"/>
    <s v="Laptop"/>
    <x v="0"/>
    <s v="West"/>
    <x v="1"/>
    <n v="8"/>
    <n v="759.05"/>
    <n v="0"/>
    <x v="0"/>
    <n v="594.16"/>
    <n v="6072.4"/>
    <n v="5478.24"/>
    <x v="2"/>
  </r>
  <r>
    <s v="ORD-0143"/>
    <d v="2025-11-13T00:00:00"/>
    <s v="Orion Traders"/>
    <s v="Monitor"/>
    <x v="0"/>
    <s v="East"/>
    <x v="3"/>
    <n v="1"/>
    <n v="178.79"/>
    <n v="0.1"/>
    <x v="0"/>
    <n v="106.63"/>
    <n v="160.911"/>
    <n v="54.281000000000006"/>
    <x v="3"/>
  </r>
  <r>
    <s v="ORD-0144"/>
    <d v="2025-07-22T00:00:00"/>
    <s v="Jupiter Retail"/>
    <s v="Smartphone"/>
    <x v="0"/>
    <s v="East"/>
    <x v="4"/>
    <n v="10"/>
    <n v="397.33"/>
    <n v="0.15"/>
    <x v="2"/>
    <n v="274.74"/>
    <n v="3377.3049999999998"/>
    <n v="3102.5649999999996"/>
    <x v="3"/>
  </r>
  <r>
    <s v="ORD-0145"/>
    <d v="2025-06-28T00:00:00"/>
    <s v="Lotus Enterprises"/>
    <s v="Headphones"/>
    <x v="2"/>
    <s v="South"/>
    <x v="4"/>
    <n v="2"/>
    <n v="50.69"/>
    <n v="0.2"/>
    <x v="4"/>
    <n v="34.86"/>
    <n v="81.103999999999999"/>
    <n v="46.244"/>
    <x v="1"/>
  </r>
  <r>
    <s v="ORD-0146"/>
    <d v="2025-12-02T00:00:00"/>
    <s v="Crest Solutions"/>
    <s v="Headphones"/>
    <x v="2"/>
    <s v="South"/>
    <x v="1"/>
    <n v="3"/>
    <n v="75.84"/>
    <n v="0.2"/>
    <x v="0"/>
    <n v="44.84"/>
    <n v="182.01600000000002"/>
    <n v="137.17600000000002"/>
    <x v="1"/>
  </r>
  <r>
    <s v="ORD-0147"/>
    <d v="2025-10-17T00:00:00"/>
    <s v="Vertex Solutions"/>
    <s v="Backpack"/>
    <x v="2"/>
    <s v="East"/>
    <x v="1"/>
    <n v="10"/>
    <n v="97.9"/>
    <n v="0.15"/>
    <x v="2"/>
    <n v="71.849999999999994"/>
    <n v="832.15"/>
    <n v="760.3"/>
    <x v="3"/>
  </r>
  <r>
    <s v="ORD-0148"/>
    <d v="2025-05-21T00:00:00"/>
    <s v="Sunrise Supplies"/>
    <s v="Headphones"/>
    <x v="2"/>
    <s v="North"/>
    <x v="2"/>
    <n v="8"/>
    <n v="101.57"/>
    <n v="0.15"/>
    <x v="1"/>
    <n v="73.180000000000007"/>
    <n v="690.67599999999993"/>
    <n v="617.49599999999987"/>
    <x v="0"/>
  </r>
  <r>
    <s v="ORD-0149"/>
    <d v="2025-05-27T00:00:00"/>
    <s v="Crest Solutions"/>
    <s v="Smartphone"/>
    <x v="0"/>
    <s v="North"/>
    <x v="0"/>
    <n v="8"/>
    <n v="424.16"/>
    <n v="0"/>
    <x v="1"/>
    <n v="239.8"/>
    <n v="3393.28"/>
    <n v="3153.48"/>
    <x v="0"/>
  </r>
  <r>
    <s v="ORD-0150"/>
    <d v="2025-01-22T00:00:00"/>
    <s v="Orion Traders"/>
    <s v="Tablet"/>
    <x v="0"/>
    <s v="South "/>
    <x v="2"/>
    <n v="10"/>
    <n v="315.33999999999997"/>
    <n v="0.2"/>
    <x v="1"/>
    <n v="254.68"/>
    <n v="2522.7199999999998"/>
    <n v="2268.04"/>
    <x v="1"/>
  </r>
  <r>
    <s v="ORD-0151"/>
    <d v="2025-06-25T00:00:00"/>
    <s v="Crest Solutions"/>
    <s v="Backpack"/>
    <x v="2"/>
    <s v="South"/>
    <x v="3"/>
    <n v="1"/>
    <n v="75.12"/>
    <n v="0.15"/>
    <x v="3"/>
    <n v="43.42"/>
    <n v="63.852000000000004"/>
    <n v="20.432000000000002"/>
    <x v="1"/>
  </r>
  <r>
    <s v="ORD-0152"/>
    <d v="2025-07-06T00:00:00"/>
    <s v="Lotus Enterprises"/>
    <s v="Backpack"/>
    <x v="2"/>
    <s v="East"/>
    <x v="5"/>
    <n v="9"/>
    <n v="119.19"/>
    <n v="0.2"/>
    <x v="0"/>
    <n v="85.18"/>
    <n v="858.16800000000012"/>
    <n v="772.98800000000006"/>
    <x v="3"/>
  </r>
  <r>
    <s v="ORD-0153"/>
    <d v="2025-02-18T00:00:00"/>
    <s v="Royal Mart"/>
    <s v="Office Chair"/>
    <x v="1"/>
    <s v="West"/>
    <x v="2"/>
    <n v="1"/>
    <n v="276.14999999999998"/>
    <n v="0.1"/>
    <x v="2"/>
    <n v="156.80000000000001"/>
    <n v="248.535"/>
    <n v="91.734999999999985"/>
    <x v="2"/>
  </r>
  <r>
    <s v="ORD-0154"/>
    <d v="2025-03-14T00:00:00"/>
    <s v="Lotus Enterprises"/>
    <s v="Webcam"/>
    <x v="2"/>
    <s v="East"/>
    <x v="1"/>
    <n v="6"/>
    <n v="135.43"/>
    <n v="0"/>
    <x v="0"/>
    <n v="95.8"/>
    <n v="812.58"/>
    <n v="716.78000000000009"/>
    <x v="3"/>
  </r>
  <r>
    <s v="ORD-0155"/>
    <d v="2025-11-26T00:00:00"/>
    <s v="Kaveri Supplies"/>
    <s v="Headphones"/>
    <x v="2"/>
    <s v="South"/>
    <x v="1"/>
    <n v="2"/>
    <n v="123.31"/>
    <n v="0.1"/>
    <x v="1"/>
    <n v="86.43"/>
    <n v="221.958"/>
    <n v="135.52799999999999"/>
    <x v="1"/>
  </r>
  <r>
    <s v="ORD-0156"/>
    <d v="2025-07-05T00:00:00"/>
    <s v="Jupiter Retail"/>
    <s v="Smartphone"/>
    <x v="0"/>
    <s v="South"/>
    <x v="4"/>
    <n v="7"/>
    <n v="558.41"/>
    <n v="0.2"/>
    <x v="2"/>
    <n v="361.68"/>
    <n v="3127.096"/>
    <n v="2765.4160000000002"/>
    <x v="1"/>
  </r>
  <r>
    <s v="ORD-0157"/>
    <d v="2025-02-21T00:00:00"/>
    <s v="Quantum Systems"/>
    <s v="Backpack"/>
    <x v="2"/>
    <s v="North"/>
    <x v="1"/>
    <n v="3"/>
    <n v="47.28"/>
    <n v="0.05"/>
    <x v="2"/>
    <n v="26.99"/>
    <n v="134.74799999999999"/>
    <n v="107.758"/>
    <x v="0"/>
  </r>
  <r>
    <s v="ORD-0158"/>
    <d v="2025-12-21T00:00:00"/>
    <s v="Vertex Solutions"/>
    <s v="Webcam"/>
    <x v="2"/>
    <s v="South"/>
    <x v="1"/>
    <n v="7"/>
    <n v="50.07"/>
    <n v="0.05"/>
    <x v="0"/>
    <n v="29.73"/>
    <n v="332.96550000000002"/>
    <n v="303.2355"/>
    <x v="1"/>
  </r>
  <r>
    <s v="ORD-0159"/>
    <d v="2025-08-18T00:00:00"/>
    <s v="Horizon Tech"/>
    <s v="Laptop"/>
    <x v="0"/>
    <s v="South"/>
    <x v="2"/>
    <n v="4"/>
    <n v="752.71"/>
    <n v="0.15"/>
    <x v="0"/>
    <n v="538.08000000000004"/>
    <n v="2559.2139999999999"/>
    <n v="2021.134"/>
    <x v="1"/>
  </r>
  <r>
    <s v="ORD-0160"/>
    <d v="2025-05-25T00:00:00"/>
    <s v="Metro Stores"/>
    <s v="Keyboard"/>
    <x v="2"/>
    <s v="West"/>
    <x v="4"/>
    <n v="10"/>
    <n v="52.59"/>
    <n v="0.15"/>
    <x v="3"/>
    <n v="35.479999999999997"/>
    <n v="447.01500000000004"/>
    <n v="411.53500000000003"/>
    <x v="2"/>
  </r>
  <r>
    <s v="ORD-0161"/>
    <d v="2025-07-10T00:00:00"/>
    <s v="Royal Mart"/>
    <s v="Webcam"/>
    <x v="2"/>
    <s v="North"/>
    <x v="1"/>
    <n v="5"/>
    <n v="50.92"/>
    <n v="0"/>
    <x v="1"/>
    <n v="36.82"/>
    <n v="254.60000000000002"/>
    <n v="217.78000000000003"/>
    <x v="0"/>
  </r>
  <r>
    <s v="ORD-0162"/>
    <d v="2025-09-20T00:00:00"/>
    <s v="Evergreen Pvt Ltd"/>
    <s v="Smartphone"/>
    <x v="0"/>
    <s v="West"/>
    <x v="3"/>
    <n v="3"/>
    <n v="414.03"/>
    <n v="0.1"/>
    <x v="3"/>
    <n v="277.95"/>
    <n v="1117.8809999999999"/>
    <n v="839.93099999999981"/>
    <x v="2"/>
  </r>
  <r>
    <s v="ORD-0163"/>
    <d v="2025-09-15T00:00:00"/>
    <s v="Lotus Enterprises"/>
    <s v="Backpack"/>
    <x v="2"/>
    <s v="South"/>
    <x v="5"/>
    <n v="1"/>
    <n v="109.62"/>
    <n v="0.15"/>
    <x v="4"/>
    <n v="61.87"/>
    <n v="93.177000000000007"/>
    <n v="31.307000000000009"/>
    <x v="1"/>
  </r>
  <r>
    <s v="ORD-0164"/>
    <d v="2025-11-29T00:00:00"/>
    <s v="Kaveri Supplies"/>
    <s v="Office Chair"/>
    <x v="1"/>
    <s v="South"/>
    <x v="4"/>
    <n v="6"/>
    <n v="171.64"/>
    <n v="0"/>
    <x v="4"/>
    <n v="133.29"/>
    <n v="1029.8399999999999"/>
    <n v="896.55"/>
    <x v="1"/>
  </r>
  <r>
    <s v="ORD-0165"/>
    <d v="2025-08-29T00:00:00"/>
    <s v="Orion Traders"/>
    <s v="Monitor"/>
    <x v="0"/>
    <s v="North"/>
    <x v="3"/>
    <n v="8"/>
    <n v="379.35"/>
    <n v="0.05"/>
    <x v="4"/>
    <n v="286.37"/>
    <n v="2883.06"/>
    <n v="2596.69"/>
    <x v="0"/>
  </r>
  <r>
    <s v="ORD-0166"/>
    <d v="2025-11-08T00:00:00"/>
    <s v="Quantum Systems"/>
    <s v="Monitor"/>
    <x v="0"/>
    <s v="West"/>
    <x v="3"/>
    <n v="3"/>
    <n v="203.91"/>
    <n v="0.2"/>
    <x v="2"/>
    <n v="163.92"/>
    <n v="489.38400000000001"/>
    <n v="325.46400000000006"/>
    <x v="2"/>
  </r>
  <r>
    <s v="ORD-0167"/>
    <d v="2025-11-15T00:00:00"/>
    <s v="Orion Traders"/>
    <s v="Keyboard"/>
    <x v="2"/>
    <s v="North"/>
    <x v="3"/>
    <n v="1"/>
    <n v="47.59"/>
    <n v="0.05"/>
    <x v="0"/>
    <n v="31.57"/>
    <n v="45.210500000000003"/>
    <n v="13.640500000000003"/>
    <x v="0"/>
  </r>
  <r>
    <s v="ORD-0168"/>
    <d v="2025-03-15T00:00:00"/>
    <s v="Jupiter Retail"/>
    <s v="Webcam"/>
    <x v="2"/>
    <s v="West"/>
    <x v="3"/>
    <n v="9"/>
    <n v="96.65"/>
    <n v="0.2"/>
    <x v="1"/>
    <n v="59.47"/>
    <n v="695.88000000000011"/>
    <n v="636.41000000000008"/>
    <x v="2"/>
  </r>
  <r>
    <s v="ORD-0169"/>
    <d v="2025-02-13T00:00:00"/>
    <s v="Quantum Systems"/>
    <s v="Office Chair"/>
    <x v="1"/>
    <s v="East"/>
    <x v="3"/>
    <n v="7"/>
    <n v="175.33"/>
    <n v="0.05"/>
    <x v="1"/>
    <n v="127.88"/>
    <n v="1165.9445000000001"/>
    <n v="1038.0645"/>
    <x v="3"/>
  </r>
  <r>
    <s v="ORD-0170"/>
    <d v="2025-08-29T00:00:00"/>
    <s v="BlueSky Retail"/>
    <s v="Tablet"/>
    <x v="0"/>
    <s v="West"/>
    <x v="2"/>
    <n v="9"/>
    <n v="352.2"/>
    <n v="0.2"/>
    <x v="2"/>
    <n v="195.64"/>
    <n v="2535.84"/>
    <n v="2340.2000000000003"/>
    <x v="2"/>
  </r>
  <r>
    <s v="ORD-0171"/>
    <d v="2025-12-03T00:00:00"/>
    <s v="Delta Stores"/>
    <s v="Laptop"/>
    <x v="0"/>
    <s v="East"/>
    <x v="4"/>
    <n v="2"/>
    <n v="739.27"/>
    <n v="0.1"/>
    <x v="4"/>
    <n v="454.73"/>
    <n v="1330.6859999999999"/>
    <n v="875.9559999999999"/>
    <x v="3"/>
  </r>
  <r>
    <s v="ORD-0172"/>
    <d v="2025-09-03T00:00:00"/>
    <s v="Future Mart"/>
    <s v="Office Chair"/>
    <x v="1"/>
    <s v="South"/>
    <x v="3"/>
    <n v="3"/>
    <n v="245.58"/>
    <n v="0.15"/>
    <x v="0"/>
    <n v="200.1"/>
    <n v="626.22900000000004"/>
    <n v="426.12900000000002"/>
    <x v="1"/>
  </r>
  <r>
    <s v="ORD-0173"/>
    <d v="2025-06-11T00:00:00"/>
    <s v="Jupiter Retail"/>
    <s v="Laptop"/>
    <x v="0"/>
    <s v="West"/>
    <x v="0"/>
    <n v="1"/>
    <n v="723.36"/>
    <n v="0.05"/>
    <x v="0"/>
    <n v="570.85"/>
    <n v="687.19200000000001"/>
    <n v="116.34199999999998"/>
    <x v="2"/>
  </r>
  <r>
    <s v="ORD-0174"/>
    <d v="2025-01-25T00:00:00"/>
    <s v="Kaveri Supplies"/>
    <s v="Monitor"/>
    <x v="0"/>
    <s v="East"/>
    <x v="3"/>
    <n v="4"/>
    <n v="159.16"/>
    <n v="0.1"/>
    <x v="2"/>
    <n v="102.88"/>
    <n v="572.976"/>
    <n v="470.096"/>
    <x v="3"/>
  </r>
  <r>
    <s v="ORD-0175"/>
    <d v="2025-04-06T00:00:00"/>
    <s v="Prime Retail"/>
    <s v="Desk"/>
    <x v="1"/>
    <s v="West"/>
    <x v="2"/>
    <n v="8"/>
    <n v="277.89999999999998"/>
    <n v="0.15"/>
    <x v="1"/>
    <n v="178.28"/>
    <n v="1889.7199999999998"/>
    <n v="1711.4399999999998"/>
    <x v="2"/>
  </r>
  <r>
    <s v="ORD-0176"/>
    <d v="2025-04-03T00:00:00"/>
    <s v="Royal Mart"/>
    <s v="Monitor"/>
    <x v="0"/>
    <s v="East"/>
    <x v="2"/>
    <n v="7"/>
    <n v="350.29"/>
    <n v="0"/>
    <x v="4"/>
    <n v="233.39"/>
    <n v="2452.0300000000002"/>
    <n v="2218.6400000000003"/>
    <x v="3"/>
  </r>
  <r>
    <s v="ORD-0177"/>
    <d v="2025-08-07T00:00:00"/>
    <s v="Future Mart"/>
    <s v="Smartphone"/>
    <x v="0"/>
    <s v="West"/>
    <x v="2"/>
    <n v="5"/>
    <n v="431.17"/>
    <n v="0.1"/>
    <x v="0"/>
    <n v="289.06"/>
    <n v="1940.2649999999999"/>
    <n v="1651.2049999999999"/>
    <x v="2"/>
  </r>
  <r>
    <s v="ORD-0178"/>
    <d v="2025-05-21T00:00:00"/>
    <s v="BlueSky Retail"/>
    <s v="Laptop"/>
    <x v="0"/>
    <s v="North"/>
    <x v="1"/>
    <n v="6"/>
    <n v="831.7"/>
    <n v="0.2"/>
    <x v="0"/>
    <n v="681.58"/>
    <n v="3992.1600000000008"/>
    <n v="3310.5800000000008"/>
    <x v="0"/>
  </r>
  <r>
    <s v="ORD-0179"/>
    <d v="2025-11-08T00:00:00"/>
    <s v="Orion Traders"/>
    <s v="Office Chair"/>
    <x v="1"/>
    <s v="North"/>
    <x v="4"/>
    <n v="3"/>
    <n v="238.01"/>
    <n v="0"/>
    <x v="4"/>
    <n v="140.08000000000001"/>
    <n v="714.03"/>
    <n v="573.94999999999993"/>
    <x v="0"/>
  </r>
  <r>
    <s v="ORD-0180"/>
    <d v="2025-10-18T00:00:00"/>
    <s v="BlueSky Retail"/>
    <s v="Keyboard"/>
    <x v="2"/>
    <s v="South"/>
    <x v="1"/>
    <n v="6"/>
    <n v="83.39"/>
    <n v="0.1"/>
    <x v="0"/>
    <n v="54.48"/>
    <n v="450.30600000000004"/>
    <n v="395.82600000000002"/>
    <x v="1"/>
  </r>
  <r>
    <s v="ORD-0181"/>
    <d v="2025-07-07T00:00:00"/>
    <s v="Metro Stores"/>
    <s v="Office Chair"/>
    <x v="1"/>
    <s v="East"/>
    <x v="1"/>
    <n v="2"/>
    <n v="205.56"/>
    <n v="0.2"/>
    <x v="2"/>
    <n v="120.7"/>
    <n v="328.89600000000002"/>
    <n v="208.19600000000003"/>
    <x v="3"/>
  </r>
  <r>
    <s v="ORD-0182"/>
    <d v="2025-07-18T00:00:00"/>
    <s v="Royal Mart"/>
    <s v="Keyboard"/>
    <x v="2"/>
    <s v="North"/>
    <x v="2"/>
    <n v="1"/>
    <n v="97.04"/>
    <n v="0.05"/>
    <x v="2"/>
    <n v="66.45"/>
    <n v="92.188000000000002"/>
    <n v="25.738"/>
    <x v="0"/>
  </r>
  <r>
    <s v="ORD-0183"/>
    <d v="2025-09-09T00:00:00"/>
    <s v="Galaxy Traders"/>
    <s v="Backpack"/>
    <x v="2"/>
    <s v="North"/>
    <x v="4"/>
    <n v="10"/>
    <n v="49.31"/>
    <n v="0.1"/>
    <x v="4"/>
    <n v="36.36"/>
    <n v="443.79"/>
    <n v="407.43"/>
    <x v="0"/>
  </r>
  <r>
    <s v="ORD-0184"/>
    <d v="2025-06-13T00:00:00"/>
    <s v="Lotus Enterprises"/>
    <s v="Backpack"/>
    <x v="2"/>
    <s v="North"/>
    <x v="0"/>
    <n v="8"/>
    <n v="45.54"/>
    <n v="0"/>
    <x v="1"/>
    <n v="35.01"/>
    <n v="364.32"/>
    <n v="329.31"/>
    <x v="0"/>
  </r>
  <r>
    <s v="ORD-0185"/>
    <d v="2025-09-18T00:00:00"/>
    <s v="Horizon Tech"/>
    <s v="Monitor"/>
    <x v="0"/>
    <s v="North"/>
    <x v="4"/>
    <n v="3"/>
    <n v="372.83"/>
    <n v="0.05"/>
    <x v="3"/>
    <n v="284.95"/>
    <n v="1062.5654999999999"/>
    <n v="777.61549999999988"/>
    <x v="0"/>
  </r>
  <r>
    <s v="ORD-0186"/>
    <d v="2025-07-08T00:00:00"/>
    <s v="Orion Traders"/>
    <s v="Keyboard"/>
    <x v="2"/>
    <s v="South"/>
    <x v="0"/>
    <n v="1"/>
    <n v="84.28"/>
    <n v="0.1"/>
    <x v="4"/>
    <n v="58.96"/>
    <n v="75.852000000000004"/>
    <n v="16.892000000000003"/>
    <x v="1"/>
  </r>
  <r>
    <s v="ORD-0187"/>
    <d v="2025-07-29T00:00:00"/>
    <s v="Sunrise Supplies"/>
    <s v="Smartphone"/>
    <x v="0"/>
    <s v="North"/>
    <x v="4"/>
    <n v="8"/>
    <n v="423.72"/>
    <n v="0.2"/>
    <x v="2"/>
    <n v="280.04000000000002"/>
    <n v="2711.8080000000004"/>
    <n v="2431.7680000000005"/>
    <x v="0"/>
  </r>
  <r>
    <s v="ORD-0188"/>
    <d v="2025-10-10T00:00:00"/>
    <s v="Sunrise Supplies"/>
    <s v="Smartphone"/>
    <x v="0"/>
    <s v="South"/>
    <x v="4"/>
    <n v="9"/>
    <n v="479.99"/>
    <n v="0.1"/>
    <x v="0"/>
    <n v="280.63"/>
    <n v="3887.9189999999999"/>
    <n v="3607.2889999999998"/>
    <x v="1"/>
  </r>
  <r>
    <s v="ORD-0189"/>
    <d v="2025-06-05T00:00:00"/>
    <s v="Future Mart"/>
    <s v="Tablet"/>
    <x v="0"/>
    <s v="South"/>
    <x v="2"/>
    <n v="1"/>
    <n v="473.21"/>
    <n v="0"/>
    <x v="3"/>
    <n v="326.45999999999998"/>
    <n v="473.21"/>
    <n v="146.75"/>
    <x v="1"/>
  </r>
  <r>
    <s v="ORD-0190"/>
    <d v="2025-05-09T00:00:00"/>
    <s v="Galaxy Traders"/>
    <s v="Office Chair"/>
    <x v="1"/>
    <s v="East"/>
    <x v="4"/>
    <n v="9"/>
    <n v="337.92"/>
    <n v="0.1"/>
    <x v="2"/>
    <n v="263.04000000000002"/>
    <n v="2737.152"/>
    <n v="2474.1120000000001"/>
    <x v="3"/>
  </r>
  <r>
    <s v="ORD-0191"/>
    <d v="2025-10-25T00:00:00"/>
    <s v="Evergreen Pvt Ltd"/>
    <s v="Webcam"/>
    <x v="2"/>
    <s v="South"/>
    <x v="1"/>
    <n v="9"/>
    <n v="96.35"/>
    <n v="0.05"/>
    <x v="1"/>
    <n v="68.39"/>
    <n v="823.7924999999999"/>
    <n v="755.40249999999992"/>
    <x v="1"/>
  </r>
  <r>
    <s v="ORD-0192"/>
    <d v="2025-01-15T00:00:00"/>
    <s v="Crest Solutions"/>
    <s v="Webcam"/>
    <x v="2"/>
    <s v="North"/>
    <x v="1"/>
    <n v="10"/>
    <n v="73.83"/>
    <n v="0"/>
    <x v="1"/>
    <n v="57.06"/>
    <n v="738.3"/>
    <n v="681.24"/>
    <x v="0"/>
  </r>
  <r>
    <s v="ORD-0193"/>
    <d v="2025-01-16T00:00:00"/>
    <s v="Prime Retail"/>
    <s v="Monitor"/>
    <x v="0"/>
    <s v="East"/>
    <x v="1"/>
    <n v="10"/>
    <n v="312.77999999999997"/>
    <n v="0.15"/>
    <x v="2"/>
    <n v="224.23"/>
    <n v="2658.6299999999997"/>
    <n v="2434.3999999999996"/>
    <x v="3"/>
  </r>
  <r>
    <s v="ORD-0194"/>
    <d v="2025-12-19T00:00:00"/>
    <s v="BlueSky Retail"/>
    <s v="Backpack"/>
    <x v="2"/>
    <s v="South"/>
    <x v="5"/>
    <n v="7"/>
    <n v="52.04"/>
    <n v="0.1"/>
    <x v="0"/>
    <n v="34.99"/>
    <n v="327.85199999999998"/>
    <n v="292.86199999999997"/>
    <x v="1"/>
  </r>
  <r>
    <s v="ORD-0195"/>
    <d v="2025-06-13T00:00:00"/>
    <s v="Lotus Enterprises"/>
    <s v="Backpack"/>
    <x v="2"/>
    <s v="West"/>
    <x v="4"/>
    <n v="6"/>
    <n v="71.8"/>
    <n v="0.2"/>
    <x v="2"/>
    <n v="42.28"/>
    <n v="344.64"/>
    <n v="302.36"/>
    <x v="2"/>
  </r>
  <r>
    <s v="ORD-0196"/>
    <d v="2025-05-17T00:00:00"/>
    <s v="Orion Traders"/>
    <s v="Tablet"/>
    <x v="0"/>
    <s v="South"/>
    <x v="4"/>
    <n v="6"/>
    <n v="368.5"/>
    <n v="0.05"/>
    <x v="4"/>
    <n v="249.09"/>
    <n v="2100.4499999999998"/>
    <n v="1851.36"/>
    <x v="1"/>
  </r>
  <r>
    <s v="ORD-0197"/>
    <d v="2025-03-23T00:00:00"/>
    <s v="Kaveri Supplies"/>
    <s v="Laptop"/>
    <x v="0"/>
    <s v="East"/>
    <x v="4"/>
    <n v="7"/>
    <n v="722.55"/>
    <n v="0.2"/>
    <x v="3"/>
    <n v="478.98"/>
    <n v="4046.2799999999997"/>
    <n v="3567.2999999999997"/>
    <x v="3"/>
  </r>
  <r>
    <s v="ORD-0198"/>
    <d v="2025-09-12T00:00:00"/>
    <s v="Aarav Enterprises"/>
    <s v="Backpack"/>
    <x v="2"/>
    <s v="North"/>
    <x v="5"/>
    <n v="8"/>
    <n v="119.64"/>
    <n v="0.15"/>
    <x v="1"/>
    <n v="94.2"/>
    <n v="813.55200000000002"/>
    <n v="719.35199999999998"/>
    <x v="0"/>
  </r>
  <r>
    <s v="ORD-0199"/>
    <d v="2025-01-26T00:00:00"/>
    <s v="Jupiter Retail"/>
    <s v="Backpack"/>
    <x v="2"/>
    <s v="West"/>
    <x v="0"/>
    <n v="4"/>
    <n v="117"/>
    <n v="0.2"/>
    <x v="0"/>
    <n v="75.5"/>
    <n v="374.40000000000003"/>
    <n v="298.90000000000003"/>
    <x v="2"/>
  </r>
  <r>
    <s v="ORD-0200"/>
    <d v="2025-05-16T00:00:00"/>
    <s v="Lotus Enterprises"/>
    <s v="Monitor"/>
    <x v="0"/>
    <s v="West"/>
    <x v="2"/>
    <n v="2"/>
    <n v="284.17"/>
    <n v="0.15"/>
    <x v="4"/>
    <n v="166.57"/>
    <n v="483.089"/>
    <n v="316.51900000000001"/>
    <x v="2"/>
  </r>
  <r>
    <s v="ORD-0201"/>
    <d v="2025-05-28T00:00:00"/>
    <s v="Crest Solutions"/>
    <s v="Desk"/>
    <x v="1"/>
    <s v="West"/>
    <x v="0"/>
    <n v="9"/>
    <n v="110.23"/>
    <n v="0.05"/>
    <x v="0"/>
    <n v="71.42"/>
    <n v="942.4665"/>
    <n v="871.04650000000004"/>
    <x v="2"/>
  </r>
  <r>
    <s v="ORD-0202"/>
    <d v="2025-02-19T00:00:00"/>
    <s v="Metro Stores"/>
    <s v="Tablet"/>
    <x v="0"/>
    <s v="East"/>
    <x v="2"/>
    <n v="10"/>
    <n v="283.92"/>
    <n v="0.2"/>
    <x v="1"/>
    <n v="165.26"/>
    <n v="2271.36"/>
    <n v="2106.1000000000004"/>
    <x v="3"/>
  </r>
  <r>
    <s v="ORD-0203"/>
    <d v="2025-09-14T00:00:00"/>
    <s v="BlueSky Retail"/>
    <s v="Office Chair"/>
    <x v="1"/>
    <s v="North"/>
    <x v="3"/>
    <n v="4"/>
    <n v="293.64"/>
    <n v="0.2"/>
    <x v="3"/>
    <n v="201.87"/>
    <n v="939.64800000000002"/>
    <n v="737.77800000000002"/>
    <x v="0"/>
  </r>
  <r>
    <s v="ORD-0204"/>
    <d v="2025-09-21T00:00:00"/>
    <s v="Evergreen Pvt Ltd"/>
    <s v="Office Chair"/>
    <x v="1"/>
    <s v="East"/>
    <x v="0"/>
    <n v="9"/>
    <n v="304.91000000000003"/>
    <n v="0.15"/>
    <x v="2"/>
    <n v="179.96"/>
    <n v="2332.5614999999998"/>
    <n v="2152.6014999999998"/>
    <x v="3"/>
  </r>
  <r>
    <s v="ORD-0205"/>
    <d v="2025-09-17T00:00:00"/>
    <s v="Quantum Systems"/>
    <s v="Headphones"/>
    <x v="2"/>
    <s v="West"/>
    <x v="1"/>
    <n v="10"/>
    <n v="95.01"/>
    <n v="0.1"/>
    <x v="1"/>
    <n v="67.489999999999995"/>
    <n v="855.09"/>
    <n v="787.6"/>
    <x v="2"/>
  </r>
  <r>
    <s v="ORD-0206"/>
    <d v="2025-02-26T00:00:00"/>
    <s v="Nova Solutions"/>
    <s v="Monitor"/>
    <x v="0"/>
    <s v="East"/>
    <x v="1"/>
    <n v="1"/>
    <n v="268.72000000000003"/>
    <n v="0.1"/>
    <x v="4"/>
    <n v="171.83"/>
    <n v="241.84800000000004"/>
    <n v="70.018000000000029"/>
    <x v="3"/>
  </r>
  <r>
    <s v="ORD-0207"/>
    <d v="2025-01-27T00:00:00"/>
    <s v="Sunrise Supplies"/>
    <s v="Webcam"/>
    <x v="2"/>
    <s v="West"/>
    <x v="4"/>
    <n v="10"/>
    <n v="89.58"/>
    <n v="0.2"/>
    <x v="1"/>
    <n v="54.77"/>
    <n v="716.64"/>
    <n v="661.87"/>
    <x v="2"/>
  </r>
  <r>
    <s v="ORD-0208"/>
    <d v="2025-05-05T00:00:00"/>
    <s v="BlueSky Retail"/>
    <s v="Webcam"/>
    <x v="2"/>
    <s v="North"/>
    <x v="4"/>
    <n v="7"/>
    <n v="124.08"/>
    <n v="0.05"/>
    <x v="4"/>
    <n v="95.77"/>
    <n v="825.13199999999995"/>
    <n v="729.36199999999997"/>
    <x v="0"/>
  </r>
  <r>
    <s v="ORD-0209"/>
    <d v="2025-07-30T00:00:00"/>
    <s v="Quantum Systems"/>
    <s v="Backpack"/>
    <x v="2"/>
    <s v="West"/>
    <x v="1"/>
    <n v="3"/>
    <n v="58.23"/>
    <n v="0.15"/>
    <x v="4"/>
    <n v="42.88"/>
    <n v="148.48650000000001"/>
    <n v="105.60650000000001"/>
    <x v="2"/>
  </r>
  <r>
    <s v="ORD-0210"/>
    <d v="2025-09-02T00:00:00"/>
    <s v="Quantum Systems"/>
    <s v="Headphones"/>
    <x v="2"/>
    <s v="West"/>
    <x v="2"/>
    <n v="9"/>
    <n v="112.62"/>
    <n v="0.1"/>
    <x v="3"/>
    <n v="92.29"/>
    <n v="912.22200000000009"/>
    <n v="819.93200000000013"/>
    <x v="2"/>
  </r>
  <r>
    <s v="ORD-0211"/>
    <d v="2025-12-15T00:00:00"/>
    <s v="Innovate India"/>
    <s v="Backpack"/>
    <x v="2"/>
    <s v="West"/>
    <x v="4"/>
    <n v="6"/>
    <n v="112.09"/>
    <n v="0.2"/>
    <x v="3"/>
    <n v="72.37"/>
    <n v="538.03200000000004"/>
    <n v="465.66200000000003"/>
    <x v="2"/>
  </r>
  <r>
    <s v="ORD-0212"/>
    <d v="2025-12-27T00:00:00"/>
    <s v="Galaxy Traders"/>
    <s v="Monitor"/>
    <x v="0"/>
    <s v="West"/>
    <x v="2"/>
    <n v="4"/>
    <n v="289.52"/>
    <n v="0.1"/>
    <x v="0"/>
    <n v="219.52"/>
    <n v="1042.2719999999999"/>
    <n v="822.75199999999995"/>
    <x v="2"/>
  </r>
  <r>
    <s v="ORD-0213"/>
    <d v="2025-12-13T00:00:00"/>
    <s v="Royal Mart"/>
    <s v="Office Chair"/>
    <x v="1"/>
    <s v="West"/>
    <x v="5"/>
    <n v="5"/>
    <n v="248.91"/>
    <n v="0.1"/>
    <x v="2"/>
    <n v="145.09"/>
    <n v="1120.095"/>
    <n v="975.005"/>
    <x v="2"/>
  </r>
  <r>
    <s v="ORD-0214"/>
    <d v="2025-08-15T00:00:00"/>
    <s v="Innovate India"/>
    <s v="Headphones"/>
    <x v="2"/>
    <s v="West"/>
    <x v="4"/>
    <n v="5"/>
    <n v="80.66"/>
    <n v="0"/>
    <x v="3"/>
    <n v="51.91"/>
    <n v="403.29999999999995"/>
    <n v="351.39"/>
    <x v="2"/>
  </r>
  <r>
    <s v="ORD-0215"/>
    <d v="2025-11-12T00:00:00"/>
    <s v="Sunrise Supplies"/>
    <s v="Tablet"/>
    <x v="0"/>
    <s v="South"/>
    <x v="4"/>
    <n v="9"/>
    <n v="281.33999999999997"/>
    <n v="0.1"/>
    <x v="4"/>
    <n v="165.16"/>
    <n v="2278.8539999999998"/>
    <n v="2113.694"/>
    <x v="1"/>
  </r>
  <r>
    <s v="ORD-0216"/>
    <d v="2025-06-19T00:00:00"/>
    <s v="Prime Retail"/>
    <s v="Tablet"/>
    <x v="0"/>
    <s v="North"/>
    <x v="1"/>
    <n v="4"/>
    <n v="267.7"/>
    <n v="0"/>
    <x v="3"/>
    <n v="154.47999999999999"/>
    <n v="1070.8"/>
    <n v="916.31999999999994"/>
    <x v="0"/>
  </r>
  <r>
    <s v="ORD-0217"/>
    <d v="2025-09-01T00:00:00"/>
    <s v="Prime Retail"/>
    <s v="Laptop"/>
    <x v="0"/>
    <s v="South"/>
    <x v="2"/>
    <n v="3"/>
    <n v="891.13"/>
    <n v="0.15"/>
    <x v="2"/>
    <n v="647.21"/>
    <n v="2272.3815"/>
    <n v="1625.1714999999999"/>
    <x v="1"/>
  </r>
  <r>
    <s v="ORD-0218"/>
    <d v="2025-01-20T00:00:00"/>
    <s v="Future Mart"/>
    <s v="Monitor"/>
    <x v="0"/>
    <s v="West"/>
    <x v="4"/>
    <n v="2"/>
    <n v="311.47000000000003"/>
    <n v="0.2"/>
    <x v="4"/>
    <n v="190.84"/>
    <n v="498.35200000000009"/>
    <n v="307.51200000000006"/>
    <x v="2"/>
  </r>
  <r>
    <s v="ORD-0219"/>
    <d v="2025-01-05T00:00:00"/>
    <s v="Jupiter Retail"/>
    <s v="Desk"/>
    <x v="1"/>
    <s v="North"/>
    <x v="2"/>
    <n v="3"/>
    <n v="257.58999999999997"/>
    <n v="0.1"/>
    <x v="2"/>
    <n v="202.65"/>
    <n v="695.49300000000005"/>
    <n v="492.84300000000007"/>
    <x v="0"/>
  </r>
  <r>
    <s v="ORD-0220"/>
    <d v="2025-03-10T00:00:00"/>
    <s v="Quantum Systems"/>
    <s v="Laptop "/>
    <x v="2"/>
    <s v="West"/>
    <x v="2"/>
    <n v="9"/>
    <n v="119.02"/>
    <n v="0.2"/>
    <x v="3"/>
    <n v="81.33"/>
    <n v="856.94400000000007"/>
    <n v="775.61400000000003"/>
    <x v="2"/>
  </r>
  <r>
    <s v="ORD-0221"/>
    <d v="2025-01-08T00:00:00"/>
    <s v="Kaveri Supplies"/>
    <s v="Smartphone"/>
    <x v="0"/>
    <s v="East"/>
    <x v="0"/>
    <n v="8"/>
    <n v="432.27"/>
    <n v="0.1"/>
    <x v="3"/>
    <n v="321.62"/>
    <n v="3112.3440000000001"/>
    <n v="2790.7240000000002"/>
    <x v="3"/>
  </r>
  <r>
    <s v="ORD-0222"/>
    <d v="2025-02-14T00:00:00"/>
    <s v="Metro Stores"/>
    <s v="Headphones"/>
    <x v="2"/>
    <s v="North"/>
    <x v="4"/>
    <n v="7"/>
    <n v="125.53"/>
    <n v="0.15"/>
    <x v="3"/>
    <n v="86.51"/>
    <n v="746.90350000000001"/>
    <n v="660.39350000000002"/>
    <x v="0"/>
  </r>
  <r>
    <s v="ORD-0223"/>
    <d v="2025-05-01T00:00:00"/>
    <s v="Orion Traders"/>
    <s v="Backpack"/>
    <x v="2"/>
    <s v="East"/>
    <x v="2"/>
    <n v="4"/>
    <n v="59.12"/>
    <n v="0"/>
    <x v="2"/>
    <n v="36.68"/>
    <n v="236.48"/>
    <n v="199.79999999999998"/>
    <x v="3"/>
  </r>
  <r>
    <s v="ORD-0224"/>
    <d v="2025-12-21T00:00:00"/>
    <s v="Horizon Tech"/>
    <s v="Webcam"/>
    <x v="2"/>
    <s v="North"/>
    <x v="1"/>
    <n v="1"/>
    <n v="118.13"/>
    <n v="0.1"/>
    <x v="4"/>
    <n v="85.82"/>
    <n v="106.31699999999999"/>
    <n v="20.497"/>
    <x v="0"/>
  </r>
  <r>
    <s v="ORD-0225"/>
    <d v="2025-12-27T00:00:00"/>
    <s v="Jupiter Retail"/>
    <s v="Backpack"/>
    <x v="2"/>
    <s v="North"/>
    <x v="1"/>
    <n v="7"/>
    <n v="57.61"/>
    <n v="0.2"/>
    <x v="2"/>
    <n v="46.04"/>
    <n v="322.61599999999999"/>
    <n v="276.57599999999996"/>
    <x v="0"/>
  </r>
  <r>
    <s v="ORD-0226"/>
    <d v="2025-08-21T00:00:00"/>
    <s v="Vertex Solutions"/>
    <s v="Office Chair"/>
    <x v="1"/>
    <s v="East"/>
    <x v="5"/>
    <n v="4"/>
    <n v="261.36"/>
    <n v="0.05"/>
    <x v="1"/>
    <n v="177.49"/>
    <n v="993.16800000000001"/>
    <n v="815.678"/>
    <x v="3"/>
  </r>
  <r>
    <s v="ORD-0227"/>
    <d v="2025-11-02T00:00:00"/>
    <s v="Crest Solutions"/>
    <s v="Backpack"/>
    <x v="2"/>
    <s v="West"/>
    <x v="0"/>
    <n v="4"/>
    <n v="98.16"/>
    <n v="0.05"/>
    <x v="2"/>
    <n v="72.02"/>
    <n v="373.00799999999998"/>
    <n v="300.988"/>
    <x v="2"/>
  </r>
  <r>
    <s v="ORD-0228"/>
    <d v="2025-09-16T00:00:00"/>
    <s v="Galaxy Traders"/>
    <s v="Smartphone"/>
    <x v="0"/>
    <s v="South"/>
    <x v="4"/>
    <n v="2"/>
    <n v="666.9"/>
    <n v="0"/>
    <x v="2"/>
    <n v="516.03"/>
    <n v="1333.8"/>
    <n v="817.77"/>
    <x v="1"/>
  </r>
  <r>
    <s v="ORD-0229"/>
    <d v="2025-09-19T00:00:00"/>
    <s v="Orion Traders"/>
    <s v="Tablet"/>
    <x v="0"/>
    <s v="North"/>
    <x v="5"/>
    <n v="4"/>
    <n v="332.55"/>
    <n v="0.2"/>
    <x v="3"/>
    <n v="226.79"/>
    <n v="1064.1600000000001"/>
    <n v="837.37000000000012"/>
    <x v="0"/>
  </r>
  <r>
    <s v="ORD-0230"/>
    <d v="2025-12-11T00:00:00"/>
    <s v="Jupiter Retail"/>
    <s v="Tablet"/>
    <x v="0"/>
    <s v="North"/>
    <x v="5"/>
    <n v="10"/>
    <n v="324.63"/>
    <n v="0"/>
    <x v="2"/>
    <n v="227.53"/>
    <n v="3246.3"/>
    <n v="3018.77"/>
    <x v="0"/>
  </r>
  <r>
    <s v="ORD-0231"/>
    <d v="2025-06-26T00:00:00"/>
    <s v="Crest Solutions"/>
    <s v="Laptop"/>
    <x v="0"/>
    <s v="North"/>
    <x v="3"/>
    <n v="10"/>
    <n v="836.45"/>
    <n v="0"/>
    <x v="0"/>
    <n v="470.28"/>
    <n v="8364.5"/>
    <n v="7894.22"/>
    <x v="0"/>
  </r>
  <r>
    <s v="ORD-0232"/>
    <d v="2025-11-27T00:00:00"/>
    <s v="Nova Solutions"/>
    <s v="Laptop"/>
    <x v="0"/>
    <s v="East"/>
    <x v="5"/>
    <n v="3"/>
    <n v="721.77"/>
    <n v="0.05"/>
    <x v="0"/>
    <n v="546.22"/>
    <n v="2057.0445"/>
    <n v="1510.8244999999999"/>
    <x v="3"/>
  </r>
  <r>
    <s v="ORD-0233"/>
    <d v="2025-06-28T00:00:00"/>
    <s v="Delta Stores"/>
    <s v="Desk"/>
    <x v="1"/>
    <s v="South"/>
    <x v="0"/>
    <n v="9"/>
    <n v="175.13"/>
    <n v="0.05"/>
    <x v="0"/>
    <n v="127.22"/>
    <n v="1497.3615"/>
    <n v="1370.1415"/>
    <x v="1"/>
  </r>
  <r>
    <s v="ORD-0234"/>
    <d v="2025-06-02T00:00:00"/>
    <s v="Orion Traders"/>
    <s v="Tablet"/>
    <x v="0"/>
    <s v="West"/>
    <x v="0"/>
    <n v="4"/>
    <n v="238.2"/>
    <n v="0"/>
    <x v="0"/>
    <n v="179.64"/>
    <n v="952.8"/>
    <n v="773.16"/>
    <x v="2"/>
  </r>
  <r>
    <s v="ORD-0235"/>
    <d v="2025-02-27T00:00:00"/>
    <s v="BlueSky Retail"/>
    <s v="Keyboard"/>
    <x v="2"/>
    <s v="West"/>
    <x v="0"/>
    <n v="6"/>
    <n v="43.56"/>
    <n v="0.05"/>
    <x v="4"/>
    <n v="27.2"/>
    <n v="248.292"/>
    <n v="221.09200000000001"/>
    <x v="2"/>
  </r>
  <r>
    <s v="ORD-0236"/>
    <d v="2025-11-03T00:00:00"/>
    <s v="BlueSky Retail"/>
    <s v="Keyboard"/>
    <x v="2"/>
    <s v="South"/>
    <x v="1"/>
    <n v="2"/>
    <n v="40.46"/>
    <n v="0.2"/>
    <x v="4"/>
    <n v="22.62"/>
    <n v="64.736000000000004"/>
    <n v="42.116"/>
    <x v="1"/>
  </r>
  <r>
    <s v="ORD-0237"/>
    <d v="2025-01-29T00:00:00"/>
    <s v="Evergreen Pvt Ltd"/>
    <s v="Desk"/>
    <x v="1"/>
    <s v="East"/>
    <x v="4"/>
    <n v="9"/>
    <n v="187.79"/>
    <n v="0.05"/>
    <x v="1"/>
    <n v="141.53"/>
    <n v="1605.6044999999999"/>
    <n v="1464.0744999999999"/>
    <x v="3"/>
  </r>
  <r>
    <s v="ORD-0238"/>
    <d v="2025-03-15T00:00:00"/>
    <s v="Quantum Systems"/>
    <s v="Office Chair"/>
    <x v="1"/>
    <s v="South"/>
    <x v="5"/>
    <n v="6"/>
    <n v="252.82"/>
    <n v="0.05"/>
    <x v="2"/>
    <n v="159.65"/>
    <n v="1441.0740000000001"/>
    <n v="1281.424"/>
    <x v="1"/>
  </r>
  <r>
    <s v="ORD-0239"/>
    <d v="2025-08-07T00:00:00"/>
    <s v="Royal Mart"/>
    <s v="Monitor"/>
    <x v="0"/>
    <s v="West"/>
    <x v="3"/>
    <n v="10"/>
    <n v="165.24"/>
    <n v="0.05"/>
    <x v="2"/>
    <n v="118.81"/>
    <n v="1569.78"/>
    <n v="1450.97"/>
    <x v="2"/>
  </r>
  <r>
    <s v="ORD-0240"/>
    <d v="2025-06-03T00:00:00"/>
    <s v="Metro Stores"/>
    <s v="Desk"/>
    <x v="1"/>
    <s v="South"/>
    <x v="0"/>
    <n v="6"/>
    <n v="257.16000000000003"/>
    <n v="0.15"/>
    <x v="0"/>
    <n v="169.78"/>
    <n v="1311.5160000000001"/>
    <n v="1141.7360000000001"/>
    <x v="1"/>
  </r>
  <r>
    <s v="ORD-0241"/>
    <d v="2025-01-30T00:00:00"/>
    <s v="Royal Mart"/>
    <s v="Keyboard"/>
    <x v="2"/>
    <s v="West"/>
    <x v="5"/>
    <n v="5"/>
    <n v="88.7"/>
    <n v="0.05"/>
    <x v="1"/>
    <n v="68.08"/>
    <n v="421.32499999999999"/>
    <n v="353.245"/>
    <x v="2"/>
  </r>
  <r>
    <s v="ORD-0242"/>
    <d v="2025-11-28T00:00:00"/>
    <s v="Crest Solutions"/>
    <s v="Tablet"/>
    <x v="0"/>
    <s v="West"/>
    <x v="2"/>
    <n v="4"/>
    <n v="240.23"/>
    <n v="0.1"/>
    <x v="4"/>
    <n v="145.32"/>
    <n v="864.82799999999997"/>
    <n v="719.50800000000004"/>
    <x v="2"/>
  </r>
  <r>
    <s v="ORD-0243"/>
    <d v="2025-12-11T00:00:00"/>
    <s v="Vertex Solutions"/>
    <s v="Tablet"/>
    <x v="0"/>
    <s v="North"/>
    <x v="3"/>
    <n v="4"/>
    <n v="417.38"/>
    <n v="0"/>
    <x v="3"/>
    <n v="259.81"/>
    <n v="1669.52"/>
    <n v="1409.71"/>
    <x v="0"/>
  </r>
  <r>
    <s v="ORD-0244"/>
    <d v="2025-06-20T00:00:00"/>
    <s v="Jupiter Retail"/>
    <s v="Webcam"/>
    <x v="2"/>
    <s v="North"/>
    <x v="4"/>
    <n v="9"/>
    <n v="118.3"/>
    <n v="0.05"/>
    <x v="3"/>
    <n v="80.38"/>
    <n v="1011.465"/>
    <n v="931.08500000000004"/>
    <x v="0"/>
  </r>
  <r>
    <s v="ORD-0245"/>
    <d v="2025-12-27T00:00:00"/>
    <s v="Galaxy Traders"/>
    <s v="Smartphone"/>
    <x v="0"/>
    <s v="West"/>
    <x v="4"/>
    <n v="8"/>
    <n v="598.75"/>
    <n v="0.05"/>
    <x v="1"/>
    <n v="441.77"/>
    <n v="4550.5"/>
    <n v="4108.7299999999996"/>
    <x v="2"/>
  </r>
  <r>
    <s v="ORD-0246"/>
    <d v="2025-07-03T00:00:00"/>
    <s v="Jupiter Retail"/>
    <s v="Office Chair"/>
    <x v="1"/>
    <s v="East"/>
    <x v="2"/>
    <n v="7"/>
    <n v="298.37"/>
    <n v="0.15"/>
    <x v="1"/>
    <n v="207.09"/>
    <n v="1775.3015"/>
    <n v="1568.2115000000001"/>
    <x v="3"/>
  </r>
  <r>
    <s v="ORD-0247"/>
    <d v="2025-07-09T00:00:00"/>
    <s v="Kaveri Supplies"/>
    <s v="Backpack"/>
    <x v="2"/>
    <s v="West"/>
    <x v="3"/>
    <n v="8"/>
    <n v="71.94"/>
    <n v="0.1"/>
    <x v="1"/>
    <n v="57.33"/>
    <n v="517.96799999999996"/>
    <n v="460.63799999999998"/>
    <x v="2"/>
  </r>
  <r>
    <s v="ORD-0248"/>
    <d v="2025-10-27T00:00:00"/>
    <s v="Sunrise Supplies"/>
    <s v="Keyboard"/>
    <x v="2"/>
    <s v="West"/>
    <x v="2"/>
    <n v="1"/>
    <n v="80.59"/>
    <n v="0.1"/>
    <x v="3"/>
    <n v="56.36"/>
    <n v="72.531000000000006"/>
    <n v="16.171000000000006"/>
    <x v="2"/>
  </r>
  <r>
    <s v="ORD-0249"/>
    <d v="2025-09-13T00:00:00"/>
    <s v="Royal Mart"/>
    <s v="Keyboard"/>
    <x v="2"/>
    <s v="East"/>
    <x v="2"/>
    <n v="7"/>
    <n v="49.74"/>
    <n v="0.2"/>
    <x v="0"/>
    <n v="38.549999999999997"/>
    <n v="278.54400000000004"/>
    <n v="239.99400000000003"/>
    <x v="3"/>
  </r>
  <r>
    <s v="ORD-0250"/>
    <d v="2025-10-07T00:00:00"/>
    <s v="Prime Retail"/>
    <s v="Backpack"/>
    <x v="2"/>
    <s v="South"/>
    <x v="0"/>
    <n v="6"/>
    <n v="71.47"/>
    <n v="0.05"/>
    <x v="4"/>
    <n v="42.01"/>
    <n v="407.37899999999996"/>
    <n v="365.36899999999997"/>
    <x v="1"/>
  </r>
  <r>
    <s v="ORD-0251"/>
    <d v="2025-07-31T00:00:00"/>
    <s v="Evergreen Pvt Ltd"/>
    <s v="Tablet"/>
    <x v="0"/>
    <s v="South"/>
    <x v="3"/>
    <n v="2"/>
    <n v="210.15"/>
    <n v="0"/>
    <x v="3"/>
    <n v="158.94999999999999"/>
    <n v="420.3"/>
    <n v="261.35000000000002"/>
    <x v="1"/>
  </r>
  <r>
    <s v="ORD-0252"/>
    <d v="2025-11-23T00:00:00"/>
    <s v="Vertex Solutions"/>
    <s v="Laptop"/>
    <x v="0"/>
    <s v="West"/>
    <x v="1"/>
    <n v="8"/>
    <n v="704.68"/>
    <n v="0.1"/>
    <x v="0"/>
    <n v="399.08"/>
    <n v="5073.6959999999999"/>
    <n v="4674.616"/>
    <x v="2"/>
  </r>
  <r>
    <s v="ORD-0253"/>
    <d v="2025-09-29T00:00:00"/>
    <s v="Innovate India"/>
    <s v="Laptop"/>
    <x v="0"/>
    <s v="East"/>
    <x v="3"/>
    <n v="9"/>
    <n v="651.65"/>
    <n v="0.15"/>
    <x v="1"/>
    <n v="360.49"/>
    <n v="4985.1224999999995"/>
    <n v="4624.6324999999997"/>
    <x v="3"/>
  </r>
  <r>
    <s v="ORD-0254"/>
    <d v="2025-09-26T00:00:00"/>
    <s v="Evergreen Pvt Ltd"/>
    <s v="Desk"/>
    <x v="1"/>
    <s v="South"/>
    <x v="4"/>
    <n v="3"/>
    <n v="261.23"/>
    <n v="0"/>
    <x v="1"/>
    <n v="208.43"/>
    <n v="783.69"/>
    <n v="575.26"/>
    <x v="1"/>
  </r>
  <r>
    <s v="ORD-0255"/>
    <d v="2025-02-10T00:00:00"/>
    <s v="Lotus Enterprises"/>
    <s v="Tablet"/>
    <x v="0"/>
    <s v="West"/>
    <x v="5"/>
    <n v="6"/>
    <n v="275.73"/>
    <n v="0.1"/>
    <x v="1"/>
    <n v="210.83"/>
    <n v="1488.9420000000002"/>
    <n v="1278.1120000000003"/>
    <x v="2"/>
  </r>
  <r>
    <s v="ORD-0256"/>
    <d v="2025-02-11T00:00:00"/>
    <s v="BlueSky Retail"/>
    <s v="Keyboard"/>
    <x v="2"/>
    <s v="North"/>
    <x v="5"/>
    <n v="4"/>
    <n v="99.27"/>
    <n v="0.1"/>
    <x v="0"/>
    <n v="72.930000000000007"/>
    <n v="357.37200000000001"/>
    <n v="284.44200000000001"/>
    <x v="0"/>
  </r>
  <r>
    <s v="ORD-0257"/>
    <d v="2025-02-12T00:00:00"/>
    <s v="Prime Retail"/>
    <s v="Desk"/>
    <x v="1"/>
    <s v="West"/>
    <x v="1"/>
    <n v="1"/>
    <n v="210.54"/>
    <n v="0"/>
    <x v="2"/>
    <n v="155.75"/>
    <n v="210.54"/>
    <n v="54.789999999999992"/>
    <x v="2"/>
  </r>
  <r>
    <s v="ORD-0258"/>
    <d v="2025-04-28T00:00:00"/>
    <s v="Galaxy Traders"/>
    <s v="Webcam"/>
    <x v="2"/>
    <s v="West"/>
    <x v="2"/>
    <n v="2"/>
    <n v="147.38999999999999"/>
    <n v="0.2"/>
    <x v="4"/>
    <n v="117.64"/>
    <n v="235.82399999999998"/>
    <n v="118.18399999999998"/>
    <x v="2"/>
  </r>
  <r>
    <s v="ORD-0259"/>
    <d v="2025-01-17T00:00:00"/>
    <s v="Future Mart"/>
    <s v="Smartphone"/>
    <x v="0"/>
    <s v="East"/>
    <x v="3"/>
    <n v="5"/>
    <n v="573.77"/>
    <n v="0.2"/>
    <x v="3"/>
    <n v="402.87"/>
    <n v="2295.08"/>
    <n v="1892.21"/>
    <x v="3"/>
  </r>
  <r>
    <s v="ORD-0260"/>
    <d v="2025-10-16T00:00:00"/>
    <s v="Horizon Tech"/>
    <s v="Webcam"/>
    <x v="2"/>
    <s v="West"/>
    <x v="1"/>
    <n v="7"/>
    <n v="51.58"/>
    <n v="0"/>
    <x v="1"/>
    <n v="32.54"/>
    <n v="361.06"/>
    <n v="328.52"/>
    <x v="2"/>
  </r>
  <r>
    <s v="ORD-0261"/>
    <d v="2025-06-27T00:00:00"/>
    <s v="BlueSky Retail"/>
    <s v="Office Chair"/>
    <x v="1"/>
    <s v="North"/>
    <x v="5"/>
    <n v="3"/>
    <n v="208.28"/>
    <n v="0"/>
    <x v="3"/>
    <n v="142.72"/>
    <n v="624.84"/>
    <n v="482.12"/>
    <x v="0"/>
  </r>
  <r>
    <s v="ORD-0262"/>
    <d v="2025-06-17T00:00:00"/>
    <s v="Aarav Enterprises"/>
    <s v="Smartphone"/>
    <x v="0"/>
    <s v="East"/>
    <x v="5"/>
    <n v="10"/>
    <n v="436.24"/>
    <n v="0.2"/>
    <x v="0"/>
    <n v="286.66000000000003"/>
    <n v="3489.92"/>
    <n v="3203.26"/>
    <x v="3"/>
  </r>
  <r>
    <s v="ORD-0263"/>
    <d v="2025-10-27T00:00:00"/>
    <s v="Metro Stores"/>
    <s v="Keyboard"/>
    <x v="2"/>
    <s v="North"/>
    <x v="0"/>
    <n v="7"/>
    <n v="51.69"/>
    <n v="0.15"/>
    <x v="2"/>
    <n v="31.02"/>
    <n v="307.55549999999999"/>
    <n v="276.53550000000001"/>
    <x v="0"/>
  </r>
  <r>
    <s v="ORD-0264"/>
    <d v="2025-12-31T00:00:00"/>
    <s v="Evergreen Pvt Ltd"/>
    <s v="Keyboard"/>
    <x v="2"/>
    <s v="West"/>
    <x v="2"/>
    <n v="2"/>
    <n v="78.48"/>
    <n v="0.1"/>
    <x v="2"/>
    <n v="46.43"/>
    <n v="141.26400000000001"/>
    <n v="94.834000000000003"/>
    <x v="2"/>
  </r>
  <r>
    <s v="ORD-0265"/>
    <d v="2025-05-19T00:00:00"/>
    <s v="Delta Stores"/>
    <s v="Smartphone"/>
    <x v="0"/>
    <s v="South"/>
    <x v="3"/>
    <n v="5"/>
    <n v="336.61"/>
    <n v="0.15"/>
    <x v="3"/>
    <n v="217.85"/>
    <n v="1430.5925000000002"/>
    <n v="1212.7425000000003"/>
    <x v="1"/>
  </r>
  <r>
    <s v="ORD-0266"/>
    <d v="2025-01-14T00:00:00"/>
    <s v="Crest Solutions"/>
    <s v="Desk"/>
    <x v="1"/>
    <s v="East"/>
    <x v="0"/>
    <n v="9"/>
    <n v="189.77"/>
    <n v="0.2"/>
    <x v="4"/>
    <n v="125.28"/>
    <n v="1366.3440000000001"/>
    <n v="1241.0640000000001"/>
    <x v="3"/>
  </r>
  <r>
    <s v="ORD-0267"/>
    <d v="2025-07-31T00:00:00"/>
    <s v="Metro Stores"/>
    <s v="Webcam"/>
    <x v="2"/>
    <s v="North"/>
    <x v="1"/>
    <n v="6"/>
    <n v="103.78"/>
    <n v="0.15"/>
    <x v="1"/>
    <n v="57.42"/>
    <n v="529.27800000000002"/>
    <n v="471.858"/>
    <x v="0"/>
  </r>
  <r>
    <s v="ORD-0268"/>
    <d v="2025-05-18T00:00:00"/>
    <s v="Jupiter Retail"/>
    <s v="Keyboard"/>
    <x v="2"/>
    <s v="East"/>
    <x v="5"/>
    <n v="3"/>
    <n v="67.900000000000006"/>
    <n v="0.15"/>
    <x v="3"/>
    <n v="40.450000000000003"/>
    <n v="173.14500000000001"/>
    <n v="132.69499999999999"/>
    <x v="3"/>
  </r>
  <r>
    <s v="ORD-0269"/>
    <d v="2025-02-09T00:00:00"/>
    <s v="Lotus Enterprises"/>
    <s v="Smartphone"/>
    <x v="0"/>
    <s v="East"/>
    <x v="4"/>
    <n v="5"/>
    <n v="366.88"/>
    <n v="0.15"/>
    <x v="0"/>
    <n v="231.48"/>
    <n v="1559.24"/>
    <n v="1327.76"/>
    <x v="3"/>
  </r>
  <r>
    <s v="ORD-0270"/>
    <d v="2025-01-04T00:00:00"/>
    <s v="Metro Stores"/>
    <s v="Webcam"/>
    <x v="2"/>
    <s v="East"/>
    <x v="0"/>
    <n v="8"/>
    <n v="105.92"/>
    <n v="0"/>
    <x v="0"/>
    <n v="62.13"/>
    <n v="847.36"/>
    <n v="785.23"/>
    <x v="3"/>
  </r>
  <r>
    <s v="ORD-0271"/>
    <d v="2025-06-14T00:00:00"/>
    <s v="Vertex Solutions"/>
    <s v="Office Chair"/>
    <x v="1"/>
    <s v="South"/>
    <x v="5"/>
    <n v="7"/>
    <n v="221.25"/>
    <n v="0.2"/>
    <x v="2"/>
    <n v="129.82"/>
    <n v="1239"/>
    <n v="1109.18"/>
    <x v="1"/>
  </r>
  <r>
    <s v="ORD-0272"/>
    <d v="2025-11-21T00:00:00"/>
    <s v="Prime Retail"/>
    <s v="Headphones"/>
    <x v="2"/>
    <s v="South"/>
    <x v="2"/>
    <n v="6"/>
    <n v="175.04"/>
    <n v="0.1"/>
    <x v="0"/>
    <n v="131"/>
    <n v="945.21600000000001"/>
    <n v="814.21600000000001"/>
    <x v="1"/>
  </r>
  <r>
    <s v="ORD-0273"/>
    <d v="2025-10-16T00:00:00"/>
    <s v="Galaxy Traders"/>
    <s v="Monitor"/>
    <x v="0"/>
    <s v="South"/>
    <x v="1"/>
    <n v="7"/>
    <n v="354.12"/>
    <n v="0.1"/>
    <x v="1"/>
    <n v="205.66"/>
    <n v="2230.9560000000001"/>
    <n v="2025.296"/>
    <x v="1"/>
  </r>
  <r>
    <s v="ORD-0274"/>
    <d v="2025-05-30T00:00:00"/>
    <s v="Crest Solutions"/>
    <s v="Laptop"/>
    <x v="0"/>
    <s v="West"/>
    <x v="1"/>
    <n v="8"/>
    <n v="888.25"/>
    <n v="0.05"/>
    <x v="0"/>
    <n v="593.69000000000005"/>
    <n v="6750.7"/>
    <n v="6157.01"/>
    <x v="2"/>
  </r>
  <r>
    <s v="ORD-0275"/>
    <d v="2025-08-05T00:00:00"/>
    <s v="Metro Stores"/>
    <s v="Headphones"/>
    <x v="2"/>
    <s v="North"/>
    <x v="5"/>
    <n v="4"/>
    <n v="128.66999999999999"/>
    <n v="0.1"/>
    <x v="1"/>
    <n v="93.65"/>
    <n v="463.21199999999999"/>
    <n v="369.56200000000001"/>
    <x v="0"/>
  </r>
  <r>
    <s v="ORD-0276"/>
    <d v="2025-12-21T00:00:00"/>
    <s v="Nova Solutions"/>
    <s v="Backpack"/>
    <x v="2"/>
    <s v="North"/>
    <x v="2"/>
    <n v="9"/>
    <n v="82.4"/>
    <n v="0.2"/>
    <x v="1"/>
    <n v="65.87"/>
    <n v="593.28000000000009"/>
    <n v="527.41000000000008"/>
    <x v="0"/>
  </r>
  <r>
    <s v="ORD-0277"/>
    <d v="2025-12-03T00:00:00"/>
    <s v="Lotus Enterprises"/>
    <s v="Webcam"/>
    <x v="2"/>
    <s v="South"/>
    <x v="1"/>
    <n v="2"/>
    <n v="108.39"/>
    <n v="0"/>
    <x v="1"/>
    <n v="82.12"/>
    <n v="216.78"/>
    <n v="134.66"/>
    <x v="1"/>
  </r>
  <r>
    <s v="ORD-0278"/>
    <d v="2025-08-09T00:00:00"/>
    <s v="Delta Stores"/>
    <s v="Laptop"/>
    <x v="0"/>
    <s v="North"/>
    <x v="3"/>
    <n v="7"/>
    <n v="790.81"/>
    <n v="0.1"/>
    <x v="2"/>
    <n v="641.14"/>
    <n v="4982.1030000000001"/>
    <n v="4340.9629999999997"/>
    <x v="0"/>
  </r>
  <r>
    <s v="ORD-0279"/>
    <d v="2025-10-22T00:00:00"/>
    <s v="Horizon Tech"/>
    <s v="Keyboard"/>
    <x v="2"/>
    <s v="West"/>
    <x v="2"/>
    <n v="9"/>
    <n v="63.3"/>
    <n v="0.2"/>
    <x v="0"/>
    <n v="44.74"/>
    <n v="455.76"/>
    <n v="411.02"/>
    <x v="2"/>
  </r>
  <r>
    <s v="ORD-0280"/>
    <d v="2025-01-13T00:00:00"/>
    <s v="Prime Retail"/>
    <s v="Backpack"/>
    <x v="2"/>
    <s v="North"/>
    <x v="2"/>
    <n v="10"/>
    <n v="99.51"/>
    <n v="0.2"/>
    <x v="0"/>
    <n v="58.78"/>
    <n v="796.08"/>
    <n v="737.30000000000007"/>
    <x v="0"/>
  </r>
  <r>
    <s v="ORD-0281"/>
    <d v="2025-08-22T00:00:00"/>
    <s v="Galaxy Traders"/>
    <s v="Smartphone"/>
    <x v="0"/>
    <s v="West"/>
    <x v="2"/>
    <n v="3"/>
    <n v="346.43"/>
    <n v="0.1"/>
    <x v="0"/>
    <n v="219.71"/>
    <n v="935.36099999999999"/>
    <n v="715.65099999999995"/>
    <x v="2"/>
  </r>
  <r>
    <s v="ORD-0282"/>
    <d v="2025-01-23T00:00:00"/>
    <s v="Delta Stores"/>
    <s v="Smartphone"/>
    <x v="0"/>
    <s v="North"/>
    <x v="2"/>
    <n v="8"/>
    <n v="475.27"/>
    <n v="0.1"/>
    <x v="4"/>
    <n v="270.02"/>
    <n v="3421.944"/>
    <n v="3151.924"/>
    <x v="0"/>
  </r>
  <r>
    <s v="ORD-0283"/>
    <d v="2025-03-23T00:00:00"/>
    <s v="Kaveri Supplies"/>
    <s v="Headphones"/>
    <x v="2"/>
    <s v="West"/>
    <x v="5"/>
    <n v="4"/>
    <n v="170.19"/>
    <n v="0.2"/>
    <x v="3"/>
    <n v="101.62"/>
    <n v="544.60800000000006"/>
    <n v="442.98800000000006"/>
    <x v="2"/>
  </r>
  <r>
    <s v="ORD-0284"/>
    <d v="2025-11-11T00:00:00"/>
    <s v="Galaxy Traders"/>
    <s v="Desk"/>
    <x v="1"/>
    <s v="West"/>
    <x v="0"/>
    <n v="3"/>
    <n v="225.95"/>
    <n v="0.15"/>
    <x v="0"/>
    <n v="148.41"/>
    <n v="576.1724999999999"/>
    <n v="427.76249999999993"/>
    <x v="2"/>
  </r>
  <r>
    <s v="ORD-0285"/>
    <d v="2025-12-27T00:00:00"/>
    <s v="Crest Solutions"/>
    <s v="Desk"/>
    <x v="1"/>
    <s v="North"/>
    <x v="0"/>
    <n v="4"/>
    <n v="100.89"/>
    <n v="0.05"/>
    <x v="3"/>
    <n v="63.07"/>
    <n v="383.38200000000001"/>
    <n v="320.31200000000001"/>
    <x v="0"/>
  </r>
  <r>
    <s v="ORD-0286"/>
    <d v="2025-09-08T00:00:00"/>
    <s v="Quantum Systems"/>
    <s v="Office Chair"/>
    <x v="1"/>
    <s v="East"/>
    <x v="0"/>
    <n v="8"/>
    <n v="194.98"/>
    <n v="0"/>
    <x v="0"/>
    <n v="121.05"/>
    <n v="1559.84"/>
    <n v="1438.79"/>
    <x v="3"/>
  </r>
  <r>
    <s v="ORD-0287"/>
    <d v="2025-08-23T00:00:00"/>
    <s v="Vertex Solutions"/>
    <s v="Webcam"/>
    <x v="2"/>
    <s v="South"/>
    <x v="1"/>
    <n v="2"/>
    <n v="80.14"/>
    <n v="0.1"/>
    <x v="2"/>
    <n v="51.69"/>
    <n v="144.25200000000001"/>
    <n v="92.562000000000012"/>
    <x v="1"/>
  </r>
  <r>
    <s v="ORD-0288"/>
    <d v="2025-06-06T00:00:00"/>
    <s v="Delta Stores"/>
    <s v="Webcam"/>
    <x v="2"/>
    <s v="South"/>
    <x v="2"/>
    <n v="3"/>
    <n v="102.87"/>
    <n v="0.1"/>
    <x v="3"/>
    <n v="59.85"/>
    <n v="277.74900000000002"/>
    <n v="217.89900000000003"/>
    <x v="1"/>
  </r>
  <r>
    <s v="ORD-0289"/>
    <d v="2025-08-05T00:00:00"/>
    <s v="Future Mart"/>
    <s v="Tablet"/>
    <x v="0"/>
    <s v="West"/>
    <x v="1"/>
    <n v="10"/>
    <n v="316.54000000000002"/>
    <n v="0.05"/>
    <x v="1"/>
    <n v="223.22"/>
    <n v="3007.13"/>
    <n v="2783.9100000000003"/>
    <x v="2"/>
  </r>
  <r>
    <s v="ORD-0290"/>
    <d v="2025-06-11T00:00:00"/>
    <s v="Orion Traders"/>
    <s v="Headphones"/>
    <x v="2"/>
    <s v="North"/>
    <x v="2"/>
    <n v="8"/>
    <n v="117.69"/>
    <n v="0.1"/>
    <x v="4"/>
    <n v="69.19"/>
    <n v="847.36800000000005"/>
    <n v="778.17800000000011"/>
    <x v="0"/>
  </r>
  <r>
    <s v="ORD-0291"/>
    <d v="2025-09-11T00:00:00"/>
    <s v="Nova Solutions"/>
    <s v="Backpack"/>
    <x v="2"/>
    <s v="West"/>
    <x v="5"/>
    <n v="7"/>
    <n v="42.29"/>
    <n v="0.2"/>
    <x v="0"/>
    <n v="29.03"/>
    <n v="236.82399999999998"/>
    <n v="207.79399999999998"/>
    <x v="2"/>
  </r>
  <r>
    <s v="ORD-0292"/>
    <d v="2025-04-23T00:00:00"/>
    <s v="Jupiter Retail"/>
    <s v="Backpack"/>
    <x v="2"/>
    <s v="North"/>
    <x v="2"/>
    <n v="10"/>
    <n v="45.05"/>
    <n v="0"/>
    <x v="3"/>
    <n v="34.46"/>
    <n v="450.5"/>
    <n v="416.04"/>
    <x v="0"/>
  </r>
  <r>
    <s v="ORD-0293"/>
    <d v="2025-09-11T00:00:00"/>
    <s v="Royal Mart"/>
    <s v="Tablet"/>
    <x v="0"/>
    <s v="North"/>
    <x v="0"/>
    <n v="8"/>
    <n v="286.60000000000002"/>
    <n v="0.2"/>
    <x v="4"/>
    <n v="215.09"/>
    <n v="1834.2400000000002"/>
    <n v="1619.1500000000003"/>
    <x v="0"/>
  </r>
  <r>
    <s v="ORD-0294"/>
    <d v="2025-01-22T00:00:00"/>
    <s v="Orion Traders"/>
    <s v="Monitor"/>
    <x v="0"/>
    <s v="South"/>
    <x v="5"/>
    <n v="6"/>
    <n v="343.78"/>
    <n v="0.2"/>
    <x v="4"/>
    <n v="265.43"/>
    <n v="1650.144"/>
    <n v="1384.7139999999999"/>
    <x v="1"/>
  </r>
  <r>
    <s v="ORD-0295"/>
    <d v="2025-02-14T00:00:00"/>
    <s v="Orion Traders"/>
    <s v="Keyboard"/>
    <x v="2"/>
    <s v="North"/>
    <x v="4"/>
    <n v="1"/>
    <n v="47.33"/>
    <n v="0.15"/>
    <x v="3"/>
    <n v="29.39"/>
    <n v="40.230499999999999"/>
    <n v="10.840499999999999"/>
    <x v="0"/>
  </r>
  <r>
    <s v="ORD-0296"/>
    <d v="2025-03-13T00:00:00"/>
    <s v="Galaxy Traders"/>
    <s v="Webcam"/>
    <x v="2"/>
    <s v="South"/>
    <x v="3"/>
    <n v="10"/>
    <n v="114.25"/>
    <n v="0.15"/>
    <x v="1"/>
    <n v="67.959999999999994"/>
    <n v="971.125"/>
    <n v="903.16499999999996"/>
    <x v="1"/>
  </r>
  <r>
    <s v="ORD-0297"/>
    <d v="2025-12-27T00:00:00"/>
    <s v="Jupiter Retail"/>
    <s v="Office Chair"/>
    <x v="1"/>
    <s v="East"/>
    <x v="0"/>
    <n v="10"/>
    <n v="242.42"/>
    <n v="0.2"/>
    <x v="2"/>
    <n v="144.35"/>
    <n v="1939.36"/>
    <n v="1795.01"/>
    <x v="3"/>
  </r>
  <r>
    <s v="ORD-0298"/>
    <d v="2025-07-30T00:00:00"/>
    <s v="BlueSky Retail"/>
    <s v="Tablet"/>
    <x v="0"/>
    <s v="East"/>
    <x v="1"/>
    <n v="2"/>
    <n v="495.65"/>
    <n v="0.05"/>
    <x v="3"/>
    <n v="401.45"/>
    <n v="941.7349999999999"/>
    <n v="540.28499999999985"/>
    <x v="3"/>
  </r>
  <r>
    <s v="ORD-0299"/>
    <d v="2025-12-13T00:00:00"/>
    <s v="Metro Stores"/>
    <s v="Headphones"/>
    <x v="2"/>
    <s v="West"/>
    <x v="4"/>
    <n v="6"/>
    <n v="74.95"/>
    <n v="0.05"/>
    <x v="1"/>
    <n v="56.63"/>
    <n v="427.21500000000003"/>
    <n v="370.58500000000004"/>
    <x v="2"/>
  </r>
  <r>
    <s v="ORD-0300"/>
    <d v="2025-02-17T00:00:00"/>
    <s v="Metro Stores"/>
    <s v="Monitor"/>
    <x v="0"/>
    <s v="East"/>
    <x v="1"/>
    <n v="5"/>
    <n v="306.95"/>
    <n v="0.15"/>
    <x v="2"/>
    <n v="175.08"/>
    <n v="1304.5374999999999"/>
    <n v="1129.4575"/>
    <x v="3"/>
  </r>
  <r>
    <s v="ORD-0301"/>
    <d v="2025-02-17T00:00:00"/>
    <s v="Orion Traders"/>
    <s v="Backpack"/>
    <x v="2"/>
    <s v="East"/>
    <x v="3"/>
    <n v="6"/>
    <n v="115.52"/>
    <n v="0.2"/>
    <x v="1"/>
    <n v="63.61"/>
    <n v="554.49599999999998"/>
    <n v="490.88599999999997"/>
    <x v="3"/>
  </r>
  <r>
    <s v="ORD-0302"/>
    <d v="2025-06-15T00:00:00"/>
    <s v="Jupiter Retail"/>
    <s v="Desk"/>
    <x v="1"/>
    <s v="East"/>
    <x v="0"/>
    <n v="7"/>
    <n v="143.57"/>
    <n v="0.05"/>
    <x v="1"/>
    <n v="98.14"/>
    <n v="954.7405"/>
    <n v="856.60050000000001"/>
    <x v="3"/>
  </r>
  <r>
    <s v="ORD-0303"/>
    <d v="2025-01-25T00:00:00"/>
    <s v="BlueSky Retail"/>
    <s v="Headphones"/>
    <x v="2"/>
    <s v="North"/>
    <x v="1"/>
    <n v="8"/>
    <n v="119.26"/>
    <n v="0.1"/>
    <x v="0"/>
    <n v="94.38"/>
    <n v="858.67200000000003"/>
    <n v="764.29200000000003"/>
    <x v="0"/>
  </r>
  <r>
    <s v="ORD-0304"/>
    <d v="2025-08-08T00:00:00"/>
    <s v="Galaxy Traders"/>
    <s v="Laptop"/>
    <x v="0"/>
    <s v="South"/>
    <x v="1"/>
    <n v="3"/>
    <n v="681.06"/>
    <n v="0.15"/>
    <x v="2"/>
    <n v="458.53"/>
    <n v="1736.7029999999997"/>
    <n v="1278.1729999999998"/>
    <x v="1"/>
  </r>
  <r>
    <s v="ORD-0305"/>
    <d v="2025-05-09T00:00:00"/>
    <s v="Crest Solutions"/>
    <s v="Headphones"/>
    <x v="2"/>
    <s v="East"/>
    <x v="1"/>
    <n v="5"/>
    <n v="162.41999999999999"/>
    <n v="0"/>
    <x v="3"/>
    <n v="118.04"/>
    <n v="812.09999999999991"/>
    <n v="694.06"/>
    <x v="3"/>
  </r>
  <r>
    <s v="ORD-0306"/>
    <d v="2025-02-16T00:00:00"/>
    <s v="Delta Stores"/>
    <s v="Laptop"/>
    <x v="0"/>
    <s v="North"/>
    <x v="4"/>
    <n v="5"/>
    <n v="749.09"/>
    <n v="0.05"/>
    <x v="0"/>
    <n v="498.81"/>
    <n v="3558.1775000000002"/>
    <n v="3059.3675000000003"/>
    <x v="0"/>
  </r>
  <r>
    <s v="ORD-0307"/>
    <d v="2025-01-05T00:00:00"/>
    <s v="Aarav Enterprises"/>
    <s v="Smartphone"/>
    <x v="0"/>
    <s v="East"/>
    <x v="3"/>
    <n v="4"/>
    <n v="353.08"/>
    <n v="0.2"/>
    <x v="0"/>
    <n v="259.02"/>
    <n v="1129.856"/>
    <n v="870.83600000000001"/>
    <x v="3"/>
  </r>
  <r>
    <s v="ORD-0308"/>
    <d v="2025-02-22T00:00:00"/>
    <s v="Delta Stores"/>
    <s v="Headphones"/>
    <x v="2"/>
    <s v="East"/>
    <x v="2"/>
    <n v="4"/>
    <n v="106.88"/>
    <n v="0.15"/>
    <x v="2"/>
    <n v="61.36"/>
    <n v="363.392"/>
    <n v="302.03199999999998"/>
    <x v="3"/>
  </r>
  <r>
    <s v="ORD-0309"/>
    <d v="2025-10-16T00:00:00"/>
    <s v="Aarav Enterprises"/>
    <s v="Headphones"/>
    <x v="2"/>
    <s v="South"/>
    <x v="5"/>
    <n v="3"/>
    <n v="93.58"/>
    <n v="0.05"/>
    <x v="2"/>
    <n v="53.2"/>
    <n v="266.70299999999997"/>
    <n v="213.50299999999999"/>
    <x v="1"/>
  </r>
  <r>
    <s v="ORD-0310"/>
    <d v="2025-08-15T00:00:00"/>
    <s v="Galaxy Traders"/>
    <s v="Keyboard"/>
    <x v="2"/>
    <s v="North"/>
    <x v="3"/>
    <n v="3"/>
    <n v="72.11"/>
    <n v="0.15"/>
    <x v="3"/>
    <n v="51.66"/>
    <n v="183.88049999999998"/>
    <n v="132.22049999999999"/>
    <x v="0"/>
  </r>
  <r>
    <s v="ORD-0311"/>
    <d v="2025-06-11T00:00:00"/>
    <s v="Evergreen Pvt Ltd"/>
    <s v="Smartphone"/>
    <x v="0"/>
    <s v="South"/>
    <x v="2"/>
    <n v="7"/>
    <n v="535.83000000000004"/>
    <n v="0.1"/>
    <x v="4"/>
    <n v="434.06"/>
    <n v="3375.7290000000003"/>
    <n v="2941.6690000000003"/>
    <x v="1"/>
  </r>
  <r>
    <s v="ORD-0312"/>
    <d v="2025-12-20T00:00:00"/>
    <s v="Aarav Enterprises"/>
    <s v="Keyboard"/>
    <x v="2"/>
    <s v="East"/>
    <x v="4"/>
    <n v="10"/>
    <n v="66.5"/>
    <n v="0.2"/>
    <x v="1"/>
    <n v="41.69"/>
    <n v="532"/>
    <n v="490.31"/>
    <x v="3"/>
  </r>
  <r>
    <s v="ORD-0313"/>
    <d v="2025-05-03T00:00:00"/>
    <s v="Prime Retail"/>
    <s v="Webcam"/>
    <x v="2"/>
    <s v="West"/>
    <x v="3"/>
    <n v="7"/>
    <n v="93.6"/>
    <n v="0.1"/>
    <x v="3"/>
    <n v="67.81"/>
    <n v="589.67999999999995"/>
    <n v="521.86999999999989"/>
    <x v="2"/>
  </r>
  <r>
    <s v="ORD-0314"/>
    <d v="2025-01-07T00:00:00"/>
    <s v="Lotus Enterprises"/>
    <s v="Backpack"/>
    <x v="2"/>
    <s v="East"/>
    <x v="4"/>
    <n v="2"/>
    <n v="87.43"/>
    <n v="0.2"/>
    <x v="0"/>
    <n v="69.069999999999993"/>
    <n v="139.88800000000001"/>
    <n v="70.818000000000012"/>
    <x v="3"/>
  </r>
  <r>
    <s v="ORD-0315"/>
    <d v="2025-02-07T00:00:00"/>
    <s v="Aarav Enterprises"/>
    <s v="Webcam"/>
    <x v="2"/>
    <s v="North"/>
    <x v="3"/>
    <n v="9"/>
    <n v="83.4"/>
    <n v="0.05"/>
    <x v="2"/>
    <n v="63.05"/>
    <n v="713.06999999999994"/>
    <n v="650.02"/>
    <x v="0"/>
  </r>
  <r>
    <s v="ORD-0316"/>
    <d v="2025-11-18T00:00:00"/>
    <s v="Quantum Systems"/>
    <s v="Keyboard"/>
    <x v="2"/>
    <s v="West"/>
    <x v="5"/>
    <n v="1"/>
    <n v="27.99"/>
    <n v="0.15"/>
    <x v="0"/>
    <n v="19.22"/>
    <n v="23.791499999999999"/>
    <n v="4.5715000000000003"/>
    <x v="2"/>
  </r>
  <r>
    <s v="ORD-0317"/>
    <d v="2025-02-12T00:00:00"/>
    <s v="Jupiter Retail"/>
    <s v="Smartphone"/>
    <x v="0"/>
    <s v="North"/>
    <x v="0"/>
    <n v="9"/>
    <n v="556.21"/>
    <n v="0.2"/>
    <x v="3"/>
    <n v="328.84"/>
    <n v="4004.7120000000004"/>
    <n v="3675.8720000000003"/>
    <x v="0"/>
  </r>
  <r>
    <s v="ORD-0318"/>
    <d v="2025-11-29T00:00:00"/>
    <s v="Crest Solutions"/>
    <s v="Headphones"/>
    <x v="2"/>
    <s v="East"/>
    <x v="1"/>
    <n v="7"/>
    <n v="115.09"/>
    <n v="0.2"/>
    <x v="0"/>
    <n v="83.01"/>
    <n v="644.50400000000002"/>
    <n v="561.49400000000003"/>
    <x v="3"/>
  </r>
  <r>
    <s v="ORD-0319"/>
    <d v="2025-11-10T00:00:00"/>
    <s v="Vertex Solutions"/>
    <s v="Keyboard"/>
    <x v="2"/>
    <s v="North"/>
    <x v="2"/>
    <n v="2"/>
    <n v="29.34"/>
    <n v="0.15"/>
    <x v="3"/>
    <n v="17.059999999999999"/>
    <n v="49.878"/>
    <n v="32.817999999999998"/>
    <x v="0"/>
  </r>
  <r>
    <s v="ORD-0320"/>
    <d v="2025-06-27T00:00:00"/>
    <s v="Quantum Systems"/>
    <s v="Smartphone"/>
    <x v="0"/>
    <s v="East"/>
    <x v="4"/>
    <n v="3"/>
    <n v="305.07"/>
    <n v="0"/>
    <x v="2"/>
    <n v="181.28"/>
    <n v="915.21"/>
    <n v="733.93000000000006"/>
    <x v="3"/>
  </r>
  <r>
    <s v="ORD-0321"/>
    <d v="2025-01-16T00:00:00"/>
    <s v="Kaveri Supplies"/>
    <s v="Headphones"/>
    <x v="2"/>
    <s v="West"/>
    <x v="2"/>
    <n v="5"/>
    <n v="144.97"/>
    <n v="0"/>
    <x v="1"/>
    <n v="109.93"/>
    <n v="724.85"/>
    <n v="614.92000000000007"/>
    <x v="2"/>
  </r>
  <r>
    <s v="ORD-0322"/>
    <d v="2025-09-19T00:00:00"/>
    <s v="Lotus Enterprises"/>
    <s v="Smartphone"/>
    <x v="0"/>
    <s v="North"/>
    <x v="5"/>
    <n v="10"/>
    <n v="405.18"/>
    <n v="0"/>
    <x v="1"/>
    <n v="277.13"/>
    <n v="4051.8"/>
    <n v="3774.67"/>
    <x v="0"/>
  </r>
  <r>
    <s v="ORD-0323"/>
    <d v="2025-12-12T00:00:00"/>
    <s v="Delta Stores"/>
    <s v="Headphones"/>
    <x v="2"/>
    <s v="South"/>
    <x v="1"/>
    <n v="5"/>
    <n v="91.48"/>
    <n v="0"/>
    <x v="1"/>
    <n v="72.400000000000006"/>
    <n v="457.40000000000003"/>
    <n v="385"/>
    <x v="1"/>
  </r>
  <r>
    <s v="ORD-0324"/>
    <d v="2025-07-06T00:00:00"/>
    <s v="Metro Stores"/>
    <s v="Laptop"/>
    <x v="0"/>
    <s v="South"/>
    <x v="4"/>
    <n v="1"/>
    <n v="661.01"/>
    <n v="0.05"/>
    <x v="4"/>
    <n v="371.76"/>
    <n v="627.95949999999993"/>
    <n v="256.19949999999994"/>
    <x v="1"/>
  </r>
  <r>
    <s v="ORD-0325"/>
    <d v="2025-08-02T00:00:00"/>
    <s v="Kaveri Supplies"/>
    <s v="Tablet"/>
    <x v="0"/>
    <s v="East"/>
    <x v="3"/>
    <n v="7"/>
    <n v="440.93"/>
    <n v="0.05"/>
    <x v="1"/>
    <n v="280.82"/>
    <n v="2932.1844999999998"/>
    <n v="2651.3644999999997"/>
    <x v="3"/>
  </r>
  <r>
    <s v="ORD-0326"/>
    <d v="2025-09-22T00:00:00"/>
    <s v="BlueSky Retail"/>
    <s v="Office Chair"/>
    <x v="1"/>
    <s v="West"/>
    <x v="3"/>
    <n v="1"/>
    <n v="147.46"/>
    <n v="0.05"/>
    <x v="0"/>
    <n v="89.99"/>
    <n v="140.08699999999999"/>
    <n v="50.096999999999994"/>
    <x v="2"/>
  </r>
  <r>
    <s v="ORD-0327"/>
    <d v="2025-08-22T00:00:00"/>
    <s v="Aarav Enterprises"/>
    <s v="Monitor"/>
    <x v="0"/>
    <s v="East"/>
    <x v="4"/>
    <n v="5"/>
    <n v="343.38"/>
    <n v="0.1"/>
    <x v="2"/>
    <n v="196.87"/>
    <n v="1545.21"/>
    <n v="1348.3400000000001"/>
    <x v="3"/>
  </r>
  <r>
    <s v="ORD-0328"/>
    <d v="2025-10-30T00:00:00"/>
    <s v="Prime Retail"/>
    <s v="Webcam"/>
    <x v="2"/>
    <s v="South"/>
    <x v="1"/>
    <n v="10"/>
    <n v="125.22"/>
    <n v="0.05"/>
    <x v="1"/>
    <n v="84.56"/>
    <n v="1189.5899999999999"/>
    <n v="1105.03"/>
    <x v="1"/>
  </r>
  <r>
    <s v="ORD-0329"/>
    <d v="2025-06-27T00:00:00"/>
    <s v="Aarav Enterprises"/>
    <s v="Keyboard"/>
    <x v="2"/>
    <s v="East"/>
    <x v="3"/>
    <n v="7"/>
    <n v="36.29"/>
    <n v="0"/>
    <x v="0"/>
    <n v="22.24"/>
    <n v="254.03"/>
    <n v="231.79"/>
    <x v="3"/>
  </r>
  <r>
    <s v="ORD-0330"/>
    <d v="2025-01-31T00:00:00"/>
    <s v="Evergreen Pvt Ltd"/>
    <s v="Monitor"/>
    <x v="0"/>
    <s v="East"/>
    <x v="3"/>
    <n v="9"/>
    <n v="175.99"/>
    <n v="0.05"/>
    <x v="4"/>
    <n v="116.74"/>
    <n v="1504.7145"/>
    <n v="1387.9745"/>
    <x v="3"/>
  </r>
  <r>
    <s v="ORD-0331"/>
    <d v="2025-07-10T00:00:00"/>
    <s v="Orion Traders"/>
    <s v="Keyboard"/>
    <x v="2"/>
    <s v="North"/>
    <x v="0"/>
    <n v="9"/>
    <n v="92.3"/>
    <n v="0.15"/>
    <x v="4"/>
    <n v="68.23"/>
    <n v="706.09499999999991"/>
    <n v="637.8649999999999"/>
    <x v="0"/>
  </r>
  <r>
    <s v="ORD-0332"/>
    <d v="2025-02-01T00:00:00"/>
    <s v="Nova Solutions"/>
    <s v="Tablet"/>
    <x v="0"/>
    <s v="South"/>
    <x v="4"/>
    <n v="7"/>
    <n v="240.05"/>
    <n v="0"/>
    <x v="2"/>
    <n v="170.39"/>
    <n v="1680.3500000000001"/>
    <n v="1509.96"/>
    <x v="1"/>
  </r>
  <r>
    <s v="ORD-0333"/>
    <d v="2025-05-20T00:00:00"/>
    <s v="Horizon Tech"/>
    <s v="Monitor"/>
    <x v="0"/>
    <s v="North"/>
    <x v="4"/>
    <n v="7"/>
    <n v="362.73"/>
    <n v="0.1"/>
    <x v="3"/>
    <n v="230.65"/>
    <n v="2285.1990000000001"/>
    <n v="2054.549"/>
    <x v="0"/>
  </r>
  <r>
    <s v="ORD-0334"/>
    <d v="2025-06-10T00:00:00"/>
    <s v="Nova Solutions"/>
    <s v="Webcam"/>
    <x v="2"/>
    <s v="North"/>
    <x v="0"/>
    <n v="2"/>
    <n v="47.53"/>
    <n v="0.05"/>
    <x v="2"/>
    <n v="31.91"/>
    <n v="90.307000000000002"/>
    <n v="58.397000000000006"/>
    <x v="0"/>
  </r>
  <r>
    <s v="ORD-0335"/>
    <d v="2025-02-16T00:00:00"/>
    <s v="Future Mart"/>
    <s v="Keyboard"/>
    <x v="2"/>
    <s v="East"/>
    <x v="1"/>
    <n v="8"/>
    <n v="58.89"/>
    <n v="0.1"/>
    <x v="1"/>
    <n v="45.94"/>
    <n v="424.00800000000004"/>
    <n v="378.06800000000004"/>
    <x v="3"/>
  </r>
  <r>
    <s v="ORD-0336"/>
    <d v="2025-05-08T00:00:00"/>
    <s v="Lotus Enterprises"/>
    <s v="Laptop"/>
    <x v="0"/>
    <s v="West"/>
    <x v="0"/>
    <n v="6"/>
    <n v="703.76"/>
    <n v="0.05"/>
    <x v="4"/>
    <n v="404.4"/>
    <n v="4011.4319999999993"/>
    <n v="3607.0319999999992"/>
    <x v="2"/>
  </r>
  <r>
    <s v="ORD-0337"/>
    <d v="2025-08-20T00:00:00"/>
    <s v="Royal Mart"/>
    <s v="Monitor"/>
    <x v="0"/>
    <s v="South"/>
    <x v="3"/>
    <n v="3"/>
    <n v="215.04"/>
    <n v="0"/>
    <x v="0"/>
    <n v="173.55"/>
    <n v="645.12"/>
    <n v="471.57"/>
    <x v="1"/>
  </r>
  <r>
    <s v="ORD-0338"/>
    <d v="2025-04-24T00:00:00"/>
    <s v="Evergreen Pvt Ltd"/>
    <s v="Smartphone"/>
    <x v="0"/>
    <s v="South"/>
    <x v="5"/>
    <n v="3"/>
    <n v="621.55999999999995"/>
    <n v="0"/>
    <x v="2"/>
    <n v="343.86"/>
    <n v="1864.6799999999998"/>
    <n v="1520.8199999999997"/>
    <x v="1"/>
  </r>
  <r>
    <s v="ORD-0339"/>
    <d v="2025-02-03T00:00:00"/>
    <s v="Galaxy Traders"/>
    <s v="Smartphone"/>
    <x v="0"/>
    <s v="West"/>
    <x v="4"/>
    <n v="5"/>
    <n v="532.92999999999995"/>
    <n v="0"/>
    <x v="4"/>
    <n v="296.25"/>
    <n v="2664.6499999999996"/>
    <n v="2368.3999999999996"/>
    <x v="2"/>
  </r>
  <r>
    <s v="ORD-0340"/>
    <d v="2025-10-21T00:00:00"/>
    <s v="Nova Solutions"/>
    <s v="Office Chair"/>
    <x v="1"/>
    <s v="West"/>
    <x v="5"/>
    <n v="8"/>
    <n v="148.18"/>
    <n v="0"/>
    <x v="4"/>
    <n v="88.22"/>
    <n v="1185.44"/>
    <n v="1097.22"/>
    <x v="2"/>
  </r>
  <r>
    <s v="ORD-0341"/>
    <d v="2025-04-06T00:00:00"/>
    <s v="Innovate India"/>
    <s v="Desk"/>
    <x v="1"/>
    <s v="East"/>
    <x v="5"/>
    <n v="3"/>
    <n v="236.64"/>
    <n v="0.1"/>
    <x v="3"/>
    <n v="143.87"/>
    <n v="638.928"/>
    <n v="495.05799999999999"/>
    <x v="3"/>
  </r>
  <r>
    <s v="ORD-0342"/>
    <d v="2025-09-13T00:00:00"/>
    <s v="Nova Solutions"/>
    <s v="Laptop"/>
    <x v="0"/>
    <s v="West"/>
    <x v="3"/>
    <n v="10"/>
    <n v="803.53"/>
    <n v="0.05"/>
    <x v="4"/>
    <n v="582.37"/>
    <n v="7633.5349999999989"/>
    <n v="7051.1649999999991"/>
    <x v="2"/>
  </r>
  <r>
    <s v="ORD-0343"/>
    <d v="2025-09-27T00:00:00"/>
    <s v="Horizon Tech"/>
    <s v="Monitor"/>
    <x v="0"/>
    <s v="North"/>
    <x v="5"/>
    <n v="7"/>
    <n v="245.75"/>
    <n v="0.05"/>
    <x v="2"/>
    <n v="177.8"/>
    <n v="1634.2375"/>
    <n v="1456.4375"/>
    <x v="0"/>
  </r>
  <r>
    <s v="ORD-0344"/>
    <d v="2025-09-15T00:00:00"/>
    <s v="Kaveri Supplies"/>
    <s v="Backpack"/>
    <x v="2"/>
    <s v="West"/>
    <x v="2"/>
    <n v="8"/>
    <n v="79.010000000000005"/>
    <n v="0.1"/>
    <x v="3"/>
    <n v="62.93"/>
    <n v="568.87200000000007"/>
    <n v="505.94200000000006"/>
    <x v="2"/>
  </r>
  <r>
    <s v="ORD-0345"/>
    <d v="2025-05-24T00:00:00"/>
    <s v="BlueSky Retail"/>
    <s v="Laptop"/>
    <x v="0"/>
    <s v="West"/>
    <x v="0"/>
    <n v="4"/>
    <n v="729.72"/>
    <n v="0"/>
    <x v="2"/>
    <n v="577.83000000000004"/>
    <n v="2918.88"/>
    <n v="2341.0500000000002"/>
    <x v="2"/>
  </r>
  <r>
    <s v="ORD-0346"/>
    <d v="2025-05-04T00:00:00"/>
    <s v="Innovate India"/>
    <s v="Webcam"/>
    <x v="2"/>
    <s v="North"/>
    <x v="4"/>
    <n v="3"/>
    <n v="149.94999999999999"/>
    <n v="0"/>
    <x v="1"/>
    <n v="92.51"/>
    <n v="449.84999999999997"/>
    <n v="357.34"/>
    <x v="0"/>
  </r>
  <r>
    <s v="ORD-0347"/>
    <d v="2025-06-12T00:00:00"/>
    <s v="Lotus Enterprises"/>
    <s v="Desk"/>
    <x v="1"/>
    <s v="North"/>
    <x v="1"/>
    <n v="3"/>
    <n v="170.96"/>
    <n v="0.05"/>
    <x v="2"/>
    <n v="104.95"/>
    <n v="487.23599999999999"/>
    <n v="382.286"/>
    <x v="0"/>
  </r>
  <r>
    <s v="ORD-0348"/>
    <d v="2025-09-10T00:00:00"/>
    <s v="Royal Mart"/>
    <s v="Webcam"/>
    <x v="2"/>
    <s v="East"/>
    <x v="4"/>
    <n v="10"/>
    <n v="99.81"/>
    <n v="0.05"/>
    <x v="0"/>
    <n v="77.44"/>
    <n v="948.19499999999994"/>
    <n v="870.75499999999988"/>
    <x v="3"/>
  </r>
  <r>
    <s v="ORD-0349"/>
    <d v="2025-09-27T00:00:00"/>
    <s v="Prime Retail"/>
    <s v="Laptop"/>
    <x v="0"/>
    <s v="North"/>
    <x v="2"/>
    <n v="4"/>
    <n v="672.56"/>
    <n v="0.2"/>
    <x v="1"/>
    <n v="409.64"/>
    <n v="2152.192"/>
    <n v="1742.5520000000001"/>
    <x v="0"/>
  </r>
  <r>
    <s v="ORD-0350"/>
    <d v="2025-06-15T00:00:00"/>
    <s v="BlueSky Retail"/>
    <s v="Keyboard"/>
    <x v="2"/>
    <s v="North"/>
    <x v="4"/>
    <n v="6"/>
    <n v="85.48"/>
    <n v="0.05"/>
    <x v="1"/>
    <n v="68.22"/>
    <n v="487.23599999999999"/>
    <n v="419.01599999999996"/>
    <x v="0"/>
  </r>
  <r>
    <s v="ORD-0351"/>
    <d v="2025-07-11T00:00:00"/>
    <s v="Metro Stores"/>
    <s v="Headphones"/>
    <x v="2"/>
    <s v="North"/>
    <x v="2"/>
    <n v="9"/>
    <n v="148.41"/>
    <n v="0.1"/>
    <x v="2"/>
    <n v="120.12"/>
    <n v="1202.1210000000001"/>
    <n v="1082.0010000000002"/>
    <x v="0"/>
  </r>
  <r>
    <s v="ORD-0352"/>
    <d v="2025-09-07T00:00:00"/>
    <s v="Kaveri Supplies"/>
    <s v="Office Chair"/>
    <x v="1"/>
    <s v="South"/>
    <x v="1"/>
    <n v="3"/>
    <n v="151.38"/>
    <n v="0.15"/>
    <x v="1"/>
    <n v="115.62"/>
    <n v="386.01900000000001"/>
    <n v="270.399"/>
    <x v="1"/>
  </r>
  <r>
    <s v="ORD-0353"/>
    <d v="2025-07-13T00:00:00"/>
    <s v="Jupiter Retail"/>
    <s v="Webcam"/>
    <x v="2"/>
    <s v="East"/>
    <x v="4"/>
    <n v="4"/>
    <n v="125.5"/>
    <n v="0.2"/>
    <x v="3"/>
    <n v="96.62"/>
    <n v="401.6"/>
    <n v="304.98"/>
    <x v="3"/>
  </r>
  <r>
    <s v="ORD-0354"/>
    <d v="2025-10-18T00:00:00"/>
    <s v="BlueSky Retail"/>
    <s v="Laptop"/>
    <x v="0"/>
    <s v="South"/>
    <x v="0"/>
    <n v="10"/>
    <n v="887.2"/>
    <n v="0.15"/>
    <x v="2"/>
    <n v="691.75"/>
    <n v="7541.2"/>
    <n v="6849.45"/>
    <x v="1"/>
  </r>
  <r>
    <s v="ORD-0355"/>
    <d v="2025-03-14T00:00:00"/>
    <s v="Kaveri Supplies"/>
    <s v="Webcam"/>
    <x v="2"/>
    <s v="North"/>
    <x v="4"/>
    <n v="10"/>
    <n v="60.4"/>
    <n v="0"/>
    <x v="2"/>
    <n v="48.5"/>
    <n v="604"/>
    <n v="555.5"/>
    <x v="0"/>
  </r>
  <r>
    <s v="ORD-0356"/>
    <d v="2025-05-16T00:00:00"/>
    <s v="Galaxy Traders"/>
    <s v="Office Chair"/>
    <x v="1"/>
    <s v="South"/>
    <x v="1"/>
    <n v="2"/>
    <n v="158.61000000000001"/>
    <n v="0.1"/>
    <x v="4"/>
    <n v="106.36"/>
    <n v="285.49800000000005"/>
    <n v="179.13800000000003"/>
    <x v="1"/>
  </r>
  <r>
    <s v="ORD-0357"/>
    <d v="2025-08-13T00:00:00"/>
    <s v="Nova Solutions"/>
    <s v="Office Chair"/>
    <x v="1"/>
    <s v="South"/>
    <x v="5"/>
    <n v="2"/>
    <n v="179.03"/>
    <n v="0"/>
    <x v="0"/>
    <n v="100.79"/>
    <n v="358.06"/>
    <n v="257.27"/>
    <x v="1"/>
  </r>
  <r>
    <s v="ORD-0358"/>
    <d v="2025-10-23T00:00:00"/>
    <s v="Horizon Tech"/>
    <s v="Desk"/>
    <x v="1"/>
    <s v="South"/>
    <x v="5"/>
    <n v="7"/>
    <n v="170.25"/>
    <n v="0"/>
    <x v="4"/>
    <n v="131.74"/>
    <n v="1191.75"/>
    <n v="1060.01"/>
    <x v="1"/>
  </r>
  <r>
    <s v="ORD-0359"/>
    <d v="2025-02-07T00:00:00"/>
    <s v="Kaveri Supplies"/>
    <s v="Laptop"/>
    <x v="0"/>
    <s v="South"/>
    <x v="5"/>
    <n v="6"/>
    <n v="723.73"/>
    <n v="0.1"/>
    <x v="3"/>
    <n v="584.01"/>
    <n v="3908.1420000000003"/>
    <n v="3324.1320000000005"/>
    <x v="1"/>
  </r>
  <r>
    <s v="ORD-0360"/>
    <d v="2025-11-11T00:00:00"/>
    <s v="Prime Retail"/>
    <s v="Smartphone"/>
    <x v="0"/>
    <s v="North"/>
    <x v="5"/>
    <n v="2"/>
    <n v="518.82000000000005"/>
    <n v="0.1"/>
    <x v="3"/>
    <n v="368.56"/>
    <n v="933.87600000000009"/>
    <n v="565.31600000000003"/>
    <x v="0"/>
  </r>
  <r>
    <s v="ORD-0361"/>
    <d v="2025-04-16T00:00:00"/>
    <s v="Galaxy Traders"/>
    <s v="Webcam"/>
    <x v="2"/>
    <s v="West"/>
    <x v="1"/>
    <n v="3"/>
    <n v="137.32"/>
    <n v="0"/>
    <x v="1"/>
    <n v="79.28"/>
    <n v="411.96"/>
    <n v="332.67999999999995"/>
    <x v="2"/>
  </r>
  <r>
    <s v="ORD-0362"/>
    <d v="2025-01-26T00:00:00"/>
    <s v="Metro Stores"/>
    <s v="Tablet"/>
    <x v="0"/>
    <s v="West"/>
    <x v="4"/>
    <n v="5"/>
    <n v="279.58"/>
    <n v="0.1"/>
    <x v="4"/>
    <n v="171.7"/>
    <n v="1258.1099999999999"/>
    <n v="1086.4099999999999"/>
    <x v="2"/>
  </r>
  <r>
    <s v="ORD-0363"/>
    <d v="2025-11-17T00:00:00"/>
    <s v="Vertex Solutions"/>
    <s v="Office Chair"/>
    <x v="1"/>
    <s v="West"/>
    <x v="4"/>
    <n v="2"/>
    <n v="120.88"/>
    <n v="0.1"/>
    <x v="4"/>
    <n v="93.37"/>
    <n v="217.584"/>
    <n v="124.214"/>
    <x v="2"/>
  </r>
  <r>
    <s v="ORD-0364"/>
    <d v="2025-03-01T00:00:00"/>
    <s v="Jupiter Retail"/>
    <s v="Laptop"/>
    <x v="0"/>
    <s v="West"/>
    <x v="5"/>
    <n v="5"/>
    <n v="701.74"/>
    <n v="0"/>
    <x v="0"/>
    <n v="475.68"/>
    <n v="3508.7"/>
    <n v="3033.02"/>
    <x v="2"/>
  </r>
  <r>
    <s v="ORD-0365"/>
    <d v="2025-07-15T00:00:00"/>
    <s v="Lotus Enterprises"/>
    <s v="Monitor"/>
    <x v="0"/>
    <s v="South"/>
    <x v="5"/>
    <n v="9"/>
    <n v="172.78"/>
    <n v="0.15"/>
    <x v="4"/>
    <n v="103.65"/>
    <n v="1321.7670000000001"/>
    <n v="1218.117"/>
    <x v="1"/>
  </r>
  <r>
    <s v="ORD-0366"/>
    <d v="2025-10-16T00:00:00"/>
    <s v="BlueSky Retail"/>
    <s v="Monitor"/>
    <x v="0"/>
    <s v="South"/>
    <x v="1"/>
    <n v="5"/>
    <n v="259.94"/>
    <n v="0.05"/>
    <x v="4"/>
    <n v="201.72"/>
    <n v="1234.7149999999999"/>
    <n v="1032.9949999999999"/>
    <x v="1"/>
  </r>
  <r>
    <s v="ORD-0367"/>
    <d v="2025-10-29T00:00:00"/>
    <s v="Horizon Tech"/>
    <s v="Smartphone"/>
    <x v="0"/>
    <s v="North"/>
    <x v="5"/>
    <n v="9"/>
    <n v="567.26"/>
    <n v="0.15"/>
    <x v="1"/>
    <n v="460.67"/>
    <n v="4339.5389999999998"/>
    <n v="3878.8689999999997"/>
    <x v="0"/>
  </r>
  <r>
    <s v="ORD-0368"/>
    <d v="2025-09-01T00:00:00"/>
    <s v="Jupiter Retail"/>
    <s v="Desk"/>
    <x v="1"/>
    <s v="North"/>
    <x v="5"/>
    <n v="8"/>
    <n v="293.13"/>
    <n v="0.2"/>
    <x v="4"/>
    <n v="231"/>
    <n v="1876.0320000000002"/>
    <n v="1645.0320000000002"/>
    <x v="0"/>
  </r>
  <r>
    <s v="ORD-0369"/>
    <d v="2025-11-14T00:00:00"/>
    <s v="Evergreen Pvt Ltd"/>
    <s v="Tablet"/>
    <x v="0"/>
    <s v="North"/>
    <x v="5"/>
    <n v="9"/>
    <n v="371.37"/>
    <n v="0.2"/>
    <x v="3"/>
    <n v="272.19"/>
    <n v="2673.864"/>
    <n v="2401.674"/>
    <x v="0"/>
  </r>
  <r>
    <s v="ORD-0370"/>
    <d v="2025-02-10T00:00:00"/>
    <s v="Nova Solutions"/>
    <s v="Headphones"/>
    <x v="2"/>
    <s v="South"/>
    <x v="1"/>
    <n v="4"/>
    <n v="176.1"/>
    <n v="0.05"/>
    <x v="3"/>
    <n v="98.88"/>
    <n v="669.18"/>
    <n v="570.29999999999995"/>
    <x v="1"/>
  </r>
  <r>
    <s v="ORD-0371"/>
    <d v="2025-07-23T00:00:00"/>
    <s v="Royal Mart"/>
    <s v="Webcam"/>
    <x v="2"/>
    <s v="East"/>
    <x v="2"/>
    <n v="2"/>
    <n v="64.66"/>
    <n v="0"/>
    <x v="1"/>
    <n v="42.34"/>
    <n v="129.32"/>
    <n v="86.97999999999999"/>
    <x v="3"/>
  </r>
  <r>
    <s v="ORD-0372"/>
    <d v="2025-08-03T00:00:00"/>
    <s v="Delta Stores"/>
    <s v="Backpack"/>
    <x v="2"/>
    <s v="West"/>
    <x v="4"/>
    <n v="1"/>
    <n v="112.54"/>
    <n v="0.2"/>
    <x v="3"/>
    <n v="79.75"/>
    <n v="90.032000000000011"/>
    <n v="10.282000000000011"/>
    <x v="2"/>
  </r>
  <r>
    <s v="ORD-0373"/>
    <d v="2025-02-21T00:00:00"/>
    <s v="Jupiter Retail"/>
    <s v="Webcam"/>
    <x v="2"/>
    <s v="East"/>
    <x v="5"/>
    <n v="2"/>
    <n v="102.61"/>
    <n v="0"/>
    <x v="2"/>
    <n v="72.02"/>
    <n v="205.22"/>
    <n v="133.19999999999999"/>
    <x v="3"/>
  </r>
  <r>
    <s v="ORD-0374"/>
    <d v="2025-03-30T00:00:00"/>
    <s v="Innovate India"/>
    <s v="Desk"/>
    <x v="1"/>
    <s v="West"/>
    <x v="4"/>
    <n v="10"/>
    <n v="230.96"/>
    <n v="0.2"/>
    <x v="1"/>
    <n v="156.53"/>
    <n v="1847.68"/>
    <n v="1691.15"/>
    <x v="2"/>
  </r>
  <r>
    <s v="ORD-0375"/>
    <d v="2025-06-19T00:00:00"/>
    <s v="Horizon Tech"/>
    <s v="Webcam"/>
    <x v="2"/>
    <s v="North"/>
    <x v="1"/>
    <n v="7"/>
    <n v="113.29"/>
    <n v="0"/>
    <x v="0"/>
    <n v="74.42"/>
    <n v="793.03000000000009"/>
    <n v="718.61000000000013"/>
    <x v="0"/>
  </r>
  <r>
    <s v="ORD-0376"/>
    <d v="2025-06-05T00:00:00"/>
    <s v="Jupiter Retail"/>
    <s v="Monitor"/>
    <x v="0"/>
    <s v="East"/>
    <x v="5"/>
    <n v="1"/>
    <n v="374.26"/>
    <n v="0.1"/>
    <x v="4"/>
    <n v="288.44"/>
    <n v="336.834"/>
    <n v="48.394000000000005"/>
    <x v="3"/>
  </r>
  <r>
    <s v="ORD-0377"/>
    <d v="2025-08-02T00:00:00"/>
    <s v="Vertex Solutions"/>
    <s v="Keyboard"/>
    <x v="2"/>
    <s v="North"/>
    <x v="4"/>
    <n v="8"/>
    <n v="35.08"/>
    <n v="0.1"/>
    <x v="0"/>
    <n v="21.85"/>
    <n v="252.57599999999999"/>
    <n v="230.726"/>
    <x v="0"/>
  </r>
  <r>
    <s v="ORD-0378"/>
    <d v="2025-07-11T00:00:00"/>
    <s v="BlueSky Retail"/>
    <s v="Keyboard"/>
    <x v="2"/>
    <s v="South"/>
    <x v="3"/>
    <n v="7"/>
    <n v="93.51"/>
    <n v="0.15"/>
    <x v="2"/>
    <n v="70.61"/>
    <n v="556.3845"/>
    <n v="485.77449999999999"/>
    <x v="1"/>
  </r>
  <r>
    <s v="ORD-0379"/>
    <d v="2025-04-09T00:00:00"/>
    <s v="Galaxy Traders"/>
    <s v="Tablet"/>
    <x v="0"/>
    <s v="North"/>
    <x v="4"/>
    <n v="9"/>
    <n v="321.02"/>
    <n v="0.2"/>
    <x v="4"/>
    <n v="179.07"/>
    <n v="2311.3440000000001"/>
    <n v="2132.2739999999999"/>
    <x v="0"/>
  </r>
  <r>
    <s v="ORD-0380"/>
    <d v="2025-08-26T00:00:00"/>
    <s v="Quantum Systems"/>
    <s v="Backpack"/>
    <x v="2"/>
    <s v="West"/>
    <x v="1"/>
    <n v="6"/>
    <n v="34.549999999999997"/>
    <n v="0.05"/>
    <x v="4"/>
    <n v="21.56"/>
    <n v="196.93499999999997"/>
    <n v="175.37499999999997"/>
    <x v="2"/>
  </r>
  <r>
    <s v="ORD-0381"/>
    <d v="2025-08-31T00:00:00"/>
    <s v="Sunrise Supplies"/>
    <s v="Laptop"/>
    <x v="0"/>
    <s v="East"/>
    <x v="2"/>
    <n v="8"/>
    <n v="710.48"/>
    <n v="0.2"/>
    <x v="3"/>
    <n v="476.34"/>
    <n v="4547.0720000000001"/>
    <n v="4070.732"/>
    <x v="3"/>
  </r>
  <r>
    <s v="ORD-0382"/>
    <d v="2025-01-26T00:00:00"/>
    <s v="Future Mart"/>
    <s v="Monitor"/>
    <x v="0"/>
    <s v="South"/>
    <x v="4"/>
    <n v="2"/>
    <n v="337.24"/>
    <n v="0.1"/>
    <x v="3"/>
    <n v="187.98"/>
    <n v="607.03200000000004"/>
    <n v="419.05200000000002"/>
    <x v="1"/>
  </r>
  <r>
    <s v="ORD-0383"/>
    <d v="2025-12-16T00:00:00"/>
    <s v="Aarav Enterprises"/>
    <s v="Keyboard"/>
    <x v="2"/>
    <s v="West"/>
    <x v="4"/>
    <n v="7"/>
    <n v="45.18"/>
    <n v="0.2"/>
    <x v="3"/>
    <n v="25.09"/>
    <n v="253.00800000000001"/>
    <n v="227.91800000000001"/>
    <x v="2"/>
  </r>
  <r>
    <s v="ORD-0384"/>
    <d v="2025-06-06T00:00:00"/>
    <s v="Innovate India"/>
    <s v="Webcam"/>
    <x v="2"/>
    <s v="West"/>
    <x v="5"/>
    <n v="4"/>
    <n v="127.1"/>
    <n v="0.1"/>
    <x v="2"/>
    <n v="90.78"/>
    <n v="457.56"/>
    <n v="366.78"/>
    <x v="2"/>
  </r>
  <r>
    <s v="ORD-0385"/>
    <d v="2025-11-16T00:00:00"/>
    <s v="Metro Stores"/>
    <s v="Backpack"/>
    <x v="2"/>
    <s v="North"/>
    <x v="3"/>
    <n v="8"/>
    <n v="52.68"/>
    <n v="0.1"/>
    <x v="1"/>
    <n v="38.61"/>
    <n v="379.29599999999999"/>
    <n v="340.68599999999998"/>
    <x v="0"/>
  </r>
  <r>
    <s v="ORD-0386"/>
    <d v="2025-12-17T00:00:00"/>
    <s v="Delta Stores"/>
    <s v="Office Chair"/>
    <x v="1"/>
    <s v="West"/>
    <x v="3"/>
    <n v="10"/>
    <n v="249.14"/>
    <n v="0.2"/>
    <x v="2"/>
    <n v="156.04"/>
    <n v="1993.12"/>
    <n v="1837.08"/>
    <x v="2"/>
  </r>
  <r>
    <s v="ORD-0387"/>
    <d v="2025-11-30T00:00:00"/>
    <s v="Jupiter Retail"/>
    <s v="Monitor"/>
    <x v="0"/>
    <s v="South"/>
    <x v="4"/>
    <n v="5"/>
    <n v="310.14999999999998"/>
    <n v="0.1"/>
    <x v="1"/>
    <n v="225.53"/>
    <n v="1395.675"/>
    <n v="1170.145"/>
    <x v="1"/>
  </r>
  <r>
    <s v="ORD-0388"/>
    <d v="2025-12-15T00:00:00"/>
    <s v="Evergreen Pvt Ltd"/>
    <s v="Keyboard"/>
    <x v="2"/>
    <s v="North"/>
    <x v="1"/>
    <n v="10"/>
    <n v="92.48"/>
    <n v="0.15"/>
    <x v="0"/>
    <n v="67.36"/>
    <n v="786.08"/>
    <n v="718.72"/>
    <x v="0"/>
  </r>
  <r>
    <s v="ORD-0389"/>
    <d v="2025-01-19T00:00:00"/>
    <s v="Sunrise Supplies"/>
    <s v="Monitor"/>
    <x v="0"/>
    <s v="South"/>
    <x v="2"/>
    <n v="7"/>
    <n v="214.86"/>
    <n v="0.15"/>
    <x v="3"/>
    <n v="140.69999999999999"/>
    <n v="1278.4169999999999"/>
    <n v="1137.7169999999999"/>
    <x v="1"/>
  </r>
  <r>
    <s v="ORD-0390"/>
    <d v="2025-03-29T00:00:00"/>
    <s v="Royal Mart"/>
    <s v="Tablet"/>
    <x v="0"/>
    <s v="South"/>
    <x v="2"/>
    <n v="8"/>
    <n v="391.49"/>
    <n v="0.1"/>
    <x v="4"/>
    <n v="268.94"/>
    <n v="2818.7280000000001"/>
    <n v="2549.788"/>
    <x v="1"/>
  </r>
  <r>
    <s v="ORD-0391"/>
    <d v="2025-04-04T00:00:00"/>
    <s v="Kaveri Supplies"/>
    <s v="Backpack"/>
    <x v="2"/>
    <s v="North"/>
    <x v="4"/>
    <n v="5"/>
    <n v="41.51"/>
    <n v="0.2"/>
    <x v="2"/>
    <n v="31.38"/>
    <n v="166.04"/>
    <n v="134.66"/>
    <x v="0"/>
  </r>
  <r>
    <s v="ORD-0392"/>
    <d v="2025-06-19T00:00:00"/>
    <s v="Lotus Enterprises"/>
    <s v="Keyboard"/>
    <x v="2"/>
    <s v="East"/>
    <x v="0"/>
    <n v="5"/>
    <n v="80.819999999999993"/>
    <n v="0.15"/>
    <x v="2"/>
    <n v="61.65"/>
    <n v="343.48499999999996"/>
    <n v="281.83499999999998"/>
    <x v="3"/>
  </r>
  <r>
    <s v="ORD-0393"/>
    <d v="2025-10-26T00:00:00"/>
    <s v="Sunrise Supplies"/>
    <s v="Backpack"/>
    <x v="2"/>
    <s v="North"/>
    <x v="5"/>
    <n v="8"/>
    <n v="106.61"/>
    <n v="0"/>
    <x v="3"/>
    <n v="83.57"/>
    <n v="852.88"/>
    <n v="769.31"/>
    <x v="0"/>
  </r>
  <r>
    <s v="ORD-0394"/>
    <d v="2025-01-28T00:00:00"/>
    <s v="Evergreen Pvt Ltd"/>
    <s v="Tablet"/>
    <x v="0"/>
    <s v="South"/>
    <x v="4"/>
    <n v="7"/>
    <n v="235.94"/>
    <n v="0.2"/>
    <x v="2"/>
    <n v="148.77000000000001"/>
    <n v="1321.2640000000001"/>
    <n v="1172.4940000000001"/>
    <x v="1"/>
  </r>
  <r>
    <s v="ORD-0395"/>
    <d v="2025-04-03T00:00:00"/>
    <s v="Crest Solutions"/>
    <s v="Desk"/>
    <x v="1"/>
    <s v="West"/>
    <x v="2"/>
    <n v="8"/>
    <n v="297.44"/>
    <n v="0.05"/>
    <x v="3"/>
    <n v="189"/>
    <n v="2260.5439999999999"/>
    <n v="2071.5439999999999"/>
    <x v="2"/>
  </r>
  <r>
    <s v="ORD-0396"/>
    <d v="2025-03-28T00:00:00"/>
    <s v="Sunrise Supplies"/>
    <s v="Office Chair"/>
    <x v="1"/>
    <s v="South"/>
    <x v="5"/>
    <n v="1"/>
    <n v="265.93"/>
    <n v="0.15"/>
    <x v="4"/>
    <n v="165.9"/>
    <n v="226.04050000000001"/>
    <n v="60.140500000000003"/>
    <x v="1"/>
  </r>
  <r>
    <s v="ORD-0397"/>
    <d v="2025-09-02T00:00:00"/>
    <s v="Metro Stores"/>
    <s v="Headphones"/>
    <x v="2"/>
    <s v="North"/>
    <x v="3"/>
    <n v="7"/>
    <n v="126.03"/>
    <n v="0.15"/>
    <x v="1"/>
    <n v="83.92"/>
    <n v="749.87850000000003"/>
    <n v="665.95850000000007"/>
    <x v="0"/>
  </r>
  <r>
    <s v="ORD-0398"/>
    <d v="2025-09-29T00:00:00"/>
    <s v="Galaxy Traders"/>
    <s v="Keyboard"/>
    <x v="2"/>
    <s v="North"/>
    <x v="1"/>
    <n v="1"/>
    <n v="79.8"/>
    <n v="0.1"/>
    <x v="4"/>
    <n v="60.2"/>
    <n v="71.819999999999993"/>
    <n v="11.61999999999999"/>
    <x v="0"/>
  </r>
  <r>
    <s v="ORD-0399"/>
    <d v="2025-07-16T00:00:00"/>
    <s v="Quantum Systems"/>
    <s v="Keyboard"/>
    <x v="2"/>
    <s v="East"/>
    <x v="4"/>
    <n v="6"/>
    <n v="41.97"/>
    <n v="0.1"/>
    <x v="4"/>
    <n v="24.54"/>
    <n v="226.63800000000001"/>
    <n v="202.09800000000001"/>
    <x v="3"/>
  </r>
  <r>
    <s v="ORD-0400"/>
    <d v="2025-11-02T00:00:00"/>
    <s v="Quantum Systems"/>
    <s v="Laptop"/>
    <x v="0"/>
    <s v="East"/>
    <x v="5"/>
    <n v="5"/>
    <n v="724.55"/>
    <n v="0"/>
    <x v="3"/>
    <n v="540.89"/>
    <n v="3622.75"/>
    <n v="3081.86"/>
    <x v="3"/>
  </r>
  <r>
    <s v="ORD-0401"/>
    <d v="2025-03-26T00:00:00"/>
    <s v="Metro Stores"/>
    <s v="Office Chair"/>
    <x v="1"/>
    <s v="North"/>
    <x v="4"/>
    <n v="8"/>
    <n v="349.11"/>
    <n v="0.1"/>
    <x v="3"/>
    <n v="262.72000000000003"/>
    <n v="2513.5920000000001"/>
    <n v="2250.8720000000003"/>
    <x v="0"/>
  </r>
  <r>
    <s v="ORD-0402"/>
    <d v="2025-03-05T00:00:00"/>
    <s v="Lotus Enterprises"/>
    <s v="Headphones"/>
    <x v="2"/>
    <s v="North"/>
    <x v="5"/>
    <n v="1"/>
    <n v="69.569999999999993"/>
    <n v="0.2"/>
    <x v="2"/>
    <n v="47.74"/>
    <n v="55.655999999999999"/>
    <n v="7.9159999999999968"/>
    <x v="0"/>
  </r>
  <r>
    <s v="ORD-0403"/>
    <d v="2025-12-01T00:00:00"/>
    <s v="Aarav Enterprises"/>
    <s v="Tablet"/>
    <x v="0"/>
    <s v="North"/>
    <x v="1"/>
    <n v="10"/>
    <n v="386.94"/>
    <n v="0"/>
    <x v="4"/>
    <n v="281.98"/>
    <n v="3869.4"/>
    <n v="3587.42"/>
    <x v="0"/>
  </r>
  <r>
    <s v="ORD-0404"/>
    <d v="2025-12-26T00:00:00"/>
    <s v="Evergreen Pvt Ltd"/>
    <s v="Desk"/>
    <x v="1"/>
    <s v="South"/>
    <x v="1"/>
    <n v="2"/>
    <n v="188.86"/>
    <n v="0.2"/>
    <x v="4"/>
    <n v="116.76"/>
    <n v="302.17600000000004"/>
    <n v="185.41600000000005"/>
    <x v="1"/>
  </r>
  <r>
    <s v="ORD-0405"/>
    <d v="2025-11-07T00:00:00"/>
    <s v="Evergreen Pvt Ltd"/>
    <s v="Monitor"/>
    <x v="0"/>
    <s v="West"/>
    <x v="3"/>
    <n v="2"/>
    <n v="255.22"/>
    <n v="0.2"/>
    <x v="1"/>
    <n v="158.97"/>
    <n v="408.35200000000003"/>
    <n v="249.38200000000003"/>
    <x v="2"/>
  </r>
  <r>
    <s v="ORD-0406"/>
    <d v="2025-11-08T00:00:00"/>
    <s v="Galaxy Traders"/>
    <s v="Webcam"/>
    <x v="2"/>
    <s v="East"/>
    <x v="0"/>
    <n v="2"/>
    <n v="48.54"/>
    <n v="0"/>
    <x v="3"/>
    <n v="33.22"/>
    <n v="97.08"/>
    <n v="63.86"/>
    <x v="3"/>
  </r>
  <r>
    <s v="ORD-0407"/>
    <d v="2025-09-12T00:00:00"/>
    <s v="Galaxy Traders"/>
    <s v="Office Chair"/>
    <x v="1"/>
    <s v="West"/>
    <x v="2"/>
    <n v="5"/>
    <n v="281.79000000000002"/>
    <n v="0.05"/>
    <x v="3"/>
    <n v="157.97999999999999"/>
    <n v="1338.5025000000001"/>
    <n v="1180.5225"/>
    <x v="2"/>
  </r>
  <r>
    <s v="ORD-0408"/>
    <d v="2025-12-09T00:00:00"/>
    <s v="Prime Retail"/>
    <s v="Laptop"/>
    <x v="0"/>
    <s v="South"/>
    <x v="3"/>
    <n v="2"/>
    <n v="653.19000000000005"/>
    <n v="0"/>
    <x v="1"/>
    <n v="506.56"/>
    <n v="1306.3800000000001"/>
    <n v="799.82000000000016"/>
    <x v="1"/>
  </r>
  <r>
    <s v="ORD-0409"/>
    <d v="2025-08-22T00:00:00"/>
    <s v="Jupiter Retail"/>
    <s v="Smartphone"/>
    <x v="0"/>
    <s v="East"/>
    <x v="5"/>
    <n v="2"/>
    <n v="589.42999999999995"/>
    <n v="0.1"/>
    <x v="4"/>
    <n v="426.73"/>
    <n v="1060.9739999999999"/>
    <n v="634.24399999999991"/>
    <x v="3"/>
  </r>
  <r>
    <s v="ORD-0410"/>
    <d v="2025-12-13T00:00:00"/>
    <s v="Kaveri Supplies"/>
    <s v="Smartphone"/>
    <x v="0"/>
    <s v="West"/>
    <x v="1"/>
    <n v="1"/>
    <n v="625.27"/>
    <n v="0.1"/>
    <x v="4"/>
    <n v="404.71"/>
    <n v="562.74300000000005"/>
    <n v="158.03300000000007"/>
    <x v="2"/>
  </r>
  <r>
    <s v="ORD-0411"/>
    <d v="2025-12-06T00:00:00"/>
    <s v="Future Mart"/>
    <s v="Smartphone"/>
    <x v="0"/>
    <s v="East"/>
    <x v="2"/>
    <n v="1"/>
    <n v="640.5"/>
    <n v="0"/>
    <x v="0"/>
    <n v="499.62"/>
    <n v="640.5"/>
    <n v="140.88"/>
    <x v="3"/>
  </r>
  <r>
    <s v="ORD-0412"/>
    <d v="2025-04-04T00:00:00"/>
    <s v="Delta Stores"/>
    <s v="Webcam"/>
    <x v="2"/>
    <s v="West"/>
    <x v="5"/>
    <n v="2"/>
    <n v="65.86"/>
    <n v="0.1"/>
    <x v="0"/>
    <n v="50.71"/>
    <n v="118.548"/>
    <n v="67.837999999999994"/>
    <x v="2"/>
  </r>
  <r>
    <s v="ORD-0413"/>
    <d v="2025-03-27T00:00:00"/>
    <s v="Delta Stores"/>
    <s v="Monitor"/>
    <x v="0"/>
    <s v="South"/>
    <x v="1"/>
    <n v="8"/>
    <n v="358.93"/>
    <n v="0.15"/>
    <x v="4"/>
    <n v="260.29000000000002"/>
    <n v="2440.7240000000002"/>
    <n v="2180.4340000000002"/>
    <x v="1"/>
  </r>
  <r>
    <s v="ORD-0414"/>
    <d v="2025-12-14T00:00:00"/>
    <s v="Orion Traders"/>
    <s v="Headphones"/>
    <x v="2"/>
    <s v="South"/>
    <x v="0"/>
    <n v="10"/>
    <n v="54.52"/>
    <n v="0.15"/>
    <x v="0"/>
    <n v="41.8"/>
    <n v="463.42"/>
    <n v="421.62"/>
    <x v="1"/>
  </r>
  <r>
    <s v="ORD-0415"/>
    <d v="2025-02-27T00:00:00"/>
    <s v="Nova Solutions"/>
    <s v="Office Chair"/>
    <x v="1"/>
    <s v="West"/>
    <x v="3"/>
    <n v="3"/>
    <n v="260.61"/>
    <n v="0.15"/>
    <x v="4"/>
    <n v="208.1"/>
    <n v="664.55550000000005"/>
    <n v="456.45550000000003"/>
    <x v="2"/>
  </r>
  <r>
    <s v="ORD-0416"/>
    <d v="2025-10-23T00:00:00"/>
    <s v="Sunrise Supplies"/>
    <s v="Monitor"/>
    <x v="0"/>
    <s v="South"/>
    <x v="1"/>
    <n v="1"/>
    <n v="313.74"/>
    <n v="0.2"/>
    <x v="2"/>
    <n v="237.57"/>
    <n v="250.99200000000002"/>
    <n v="13.422000000000025"/>
    <x v="1"/>
  </r>
  <r>
    <s v="ORD-0417"/>
    <d v="2025-05-08T00:00:00"/>
    <s v="Prime Retail"/>
    <s v="Tablet"/>
    <x v="0"/>
    <s v="East"/>
    <x v="1"/>
    <n v="10"/>
    <n v="356.93"/>
    <n v="0"/>
    <x v="0"/>
    <n v="238.03"/>
    <n v="3569.3"/>
    <n v="3331.27"/>
    <x v="3"/>
  </r>
  <r>
    <s v="ORD-0418"/>
    <d v="2025-11-26T00:00:00"/>
    <s v="Future Mart"/>
    <s v="Headphones"/>
    <x v="2"/>
    <s v="West"/>
    <x v="5"/>
    <n v="9"/>
    <n v="157.46"/>
    <n v="0.2"/>
    <x v="3"/>
    <n v="88.92"/>
    <n v="1133.7120000000002"/>
    <n v="1044.7920000000001"/>
    <x v="2"/>
  </r>
  <r>
    <s v="ORD-0419"/>
    <d v="2025-05-23T00:00:00"/>
    <s v="BlueSky Retail"/>
    <s v="Smartphone"/>
    <x v="0"/>
    <s v="South"/>
    <x v="0"/>
    <n v="6"/>
    <n v="600.57000000000005"/>
    <n v="0.05"/>
    <x v="0"/>
    <n v="383.97"/>
    <n v="3423.2489999999998"/>
    <n v="3039.2789999999995"/>
    <x v="1"/>
  </r>
  <r>
    <s v="ORD-0420"/>
    <d v="2025-10-21T00:00:00"/>
    <s v="Orion Traders"/>
    <s v="Desk"/>
    <x v="1"/>
    <s v="North"/>
    <x v="5"/>
    <n v="2"/>
    <n v="263.42"/>
    <n v="0.15"/>
    <x v="0"/>
    <n v="176.47"/>
    <n v="447.81400000000002"/>
    <n v="271.34400000000005"/>
    <x v="0"/>
  </r>
  <r>
    <s v="ORD-0421"/>
    <d v="2025-07-31T00:00:00"/>
    <s v="BlueSky Retail"/>
    <s v="Office Chair"/>
    <x v="1"/>
    <s v="North"/>
    <x v="3"/>
    <n v="8"/>
    <n v="147.30000000000001"/>
    <n v="0"/>
    <x v="1"/>
    <n v="85.1"/>
    <n v="1178.4000000000001"/>
    <n v="1093.3000000000002"/>
    <x v="0"/>
  </r>
  <r>
    <s v="ORD-0422"/>
    <d v="2025-12-10T00:00:00"/>
    <s v="Orion Traders"/>
    <s v="Webcam"/>
    <x v="2"/>
    <s v="East"/>
    <x v="2"/>
    <n v="9"/>
    <n v="108.32"/>
    <n v="0.2"/>
    <x v="4"/>
    <n v="65.63"/>
    <n v="779.904"/>
    <n v="714.274"/>
    <x v="3"/>
  </r>
  <r>
    <s v="ORD-0423"/>
    <d v="2025-11-04T00:00:00"/>
    <s v="Prime Retail"/>
    <s v="Keyboard"/>
    <x v="2"/>
    <s v="East"/>
    <x v="1"/>
    <n v="6"/>
    <n v="88.32"/>
    <n v="0.2"/>
    <x v="0"/>
    <n v="66.88"/>
    <n v="423.93599999999998"/>
    <n v="357.05599999999998"/>
    <x v="3"/>
  </r>
  <r>
    <s v="ORD-0424"/>
    <d v="2025-11-21T00:00:00"/>
    <s v="Jupiter Retail"/>
    <s v="Smartphone"/>
    <x v="0"/>
    <s v="East"/>
    <x v="1"/>
    <n v="4"/>
    <n v="338.97"/>
    <n v="0"/>
    <x v="4"/>
    <n v="217.68"/>
    <n v="1355.88"/>
    <n v="1138.2"/>
    <x v="3"/>
  </r>
  <r>
    <s v="ORD-0425"/>
    <d v="2025-07-29T00:00:00"/>
    <s v="Delta Stores"/>
    <s v="Laptop"/>
    <x v="0"/>
    <s v="East"/>
    <x v="0"/>
    <n v="8"/>
    <n v="874.22"/>
    <n v="0.05"/>
    <x v="3"/>
    <n v="674.81"/>
    <n v="6644.0720000000001"/>
    <n v="5969.2620000000006"/>
    <x v="3"/>
  </r>
  <r>
    <s v="ORD-0426"/>
    <d v="2025-04-08T00:00:00"/>
    <s v="Kaveri Supplies"/>
    <s v="Keyboard"/>
    <x v="2"/>
    <s v="North"/>
    <x v="5"/>
    <n v="7"/>
    <n v="34.06"/>
    <n v="0.05"/>
    <x v="4"/>
    <n v="22.94"/>
    <n v="226.499"/>
    <n v="203.559"/>
    <x v="0"/>
  </r>
  <r>
    <s v="ORD-0427"/>
    <d v="2025-09-16T00:00:00"/>
    <s v="Evergreen Pvt Ltd"/>
    <s v="Webcam"/>
    <x v="2"/>
    <s v="West"/>
    <x v="3"/>
    <n v="8"/>
    <n v="49.17"/>
    <n v="0.15"/>
    <x v="1"/>
    <n v="35.79"/>
    <n v="334.35599999999999"/>
    <n v="298.56599999999997"/>
    <x v="2"/>
  </r>
  <r>
    <s v="ORD-0428"/>
    <d v="2025-09-18T00:00:00"/>
    <s v="Future Mart"/>
    <s v="Laptop"/>
    <x v="0"/>
    <s v="South"/>
    <x v="1"/>
    <n v="7"/>
    <n v="788.31"/>
    <n v="0.2"/>
    <x v="3"/>
    <n v="536.36"/>
    <n v="4414.5360000000001"/>
    <n v="3878.1759999999999"/>
    <x v="1"/>
  </r>
  <r>
    <s v="ORD-0429"/>
    <d v="2025-09-16T00:00:00"/>
    <s v="Metro Stores"/>
    <s v="Smartphone"/>
    <x v="0"/>
    <s v="West"/>
    <x v="0"/>
    <n v="10"/>
    <n v="454.96"/>
    <n v="0.2"/>
    <x v="3"/>
    <n v="358.66"/>
    <n v="3639.68"/>
    <n v="3281.02"/>
    <x v="2"/>
  </r>
  <r>
    <s v="ORD-0430"/>
    <d v="2025-03-10T00:00:00"/>
    <s v="Evergreen Pvt Ltd"/>
    <s v="Monitor"/>
    <x v="0"/>
    <s v="West"/>
    <x v="0"/>
    <n v="6"/>
    <n v="249.47"/>
    <n v="0.1"/>
    <x v="1"/>
    <n v="167.71"/>
    <n v="1347.1379999999999"/>
    <n v="1179.4279999999999"/>
    <x v="2"/>
  </r>
  <r>
    <s v="ORD-0431"/>
    <d v="2025-10-11T00:00:00"/>
    <s v="Galaxy Traders"/>
    <s v="Monitor"/>
    <x v="0"/>
    <s v="South"/>
    <x v="4"/>
    <n v="9"/>
    <n v="360.77"/>
    <n v="0.1"/>
    <x v="1"/>
    <n v="267.77"/>
    <n v="2922.2370000000001"/>
    <n v="2654.4670000000001"/>
    <x v="1"/>
  </r>
  <r>
    <s v="ORD-0432"/>
    <d v="2025-12-22T00:00:00"/>
    <s v="Kaveri Supplies"/>
    <s v="Monitor"/>
    <x v="0"/>
    <s v="North"/>
    <x v="2"/>
    <n v="3"/>
    <n v="321.64999999999998"/>
    <n v="0.05"/>
    <x v="1"/>
    <n v="220.67"/>
    <n v="916.70249999999987"/>
    <n v="696.03249999999991"/>
    <x v="0"/>
  </r>
  <r>
    <s v="ORD-0433"/>
    <d v="2025-08-05T00:00:00"/>
    <s v="Aarav Enterprises"/>
    <s v="Backpack"/>
    <x v="2"/>
    <s v="North"/>
    <x v="3"/>
    <n v="7"/>
    <n v="82.45"/>
    <n v="0.2"/>
    <x v="0"/>
    <n v="51.71"/>
    <n v="461.72"/>
    <n v="410.01000000000005"/>
    <x v="0"/>
  </r>
  <r>
    <s v="ORD-0434"/>
    <d v="2025-03-24T00:00:00"/>
    <s v="Jupiter Retail"/>
    <s v="Headphones"/>
    <x v="2"/>
    <s v="East"/>
    <x v="4"/>
    <n v="1"/>
    <n v="47.43"/>
    <n v="0.05"/>
    <x v="4"/>
    <n v="29.51"/>
    <n v="45.058499999999995"/>
    <n v="15.548499999999994"/>
    <x v="3"/>
  </r>
  <r>
    <s v="ORD-0435"/>
    <d v="2025-08-20T00:00:00"/>
    <s v="Delta Stores"/>
    <s v="Monitor"/>
    <x v="0"/>
    <s v="South"/>
    <x v="1"/>
    <n v="9"/>
    <n v="201"/>
    <n v="0"/>
    <x v="1"/>
    <n v="130.02000000000001"/>
    <n v="1809"/>
    <n v="1678.98"/>
    <x v="1"/>
  </r>
  <r>
    <s v="ORD-0436"/>
    <d v="2025-07-18T00:00:00"/>
    <s v="Nova Solutions"/>
    <s v="Desk"/>
    <x v="1"/>
    <s v="East"/>
    <x v="0"/>
    <n v="5"/>
    <n v="147.52000000000001"/>
    <n v="0"/>
    <x v="4"/>
    <n v="118.04"/>
    <n v="737.6"/>
    <n v="619.56000000000006"/>
    <x v="3"/>
  </r>
  <r>
    <s v="ORD-0437"/>
    <d v="2025-08-15T00:00:00"/>
    <s v="Horizon Tech"/>
    <s v="Laptop"/>
    <x v="0"/>
    <s v="East"/>
    <x v="0"/>
    <n v="4"/>
    <n v="835.92"/>
    <n v="0.2"/>
    <x v="1"/>
    <n v="655.85"/>
    <n v="2674.944"/>
    <n v="2019.0940000000001"/>
    <x v="3"/>
  </r>
  <r>
    <s v="ORD-0438"/>
    <d v="2025-12-16T00:00:00"/>
    <s v="Crest Solutions"/>
    <s v="Webcam"/>
    <x v="2"/>
    <s v="South"/>
    <x v="4"/>
    <n v="4"/>
    <n v="57.59"/>
    <n v="0.1"/>
    <x v="1"/>
    <n v="38.65"/>
    <n v="207.32400000000001"/>
    <n v="168.67400000000001"/>
    <x v="1"/>
  </r>
  <r>
    <s v="ORD-0439"/>
    <d v="2025-03-08T00:00:00"/>
    <s v="Future Mart"/>
    <s v="Smartphone"/>
    <x v="0"/>
    <s v="East"/>
    <x v="3"/>
    <n v="7"/>
    <n v="450.88"/>
    <n v="0.1"/>
    <x v="2"/>
    <n v="315.74"/>
    <n v="2840.5439999999999"/>
    <n v="2524.8040000000001"/>
    <x v="3"/>
  </r>
  <r>
    <s v="ORD-0440"/>
    <d v="2025-06-15T00:00:00"/>
    <s v="Vertex Solutions"/>
    <s v="Backpack"/>
    <x v="2"/>
    <s v="North"/>
    <x v="1"/>
    <n v="3"/>
    <n v="93.87"/>
    <n v="0"/>
    <x v="1"/>
    <n v="55.52"/>
    <n v="281.61"/>
    <n v="226.09"/>
    <x v="0"/>
  </r>
  <r>
    <s v="ORD-0441"/>
    <d v="2025-12-29T00:00:00"/>
    <s v="Kaveri Supplies"/>
    <s v="Monitor"/>
    <x v="0"/>
    <s v="South"/>
    <x v="4"/>
    <n v="10"/>
    <n v="272.64"/>
    <n v="0.2"/>
    <x v="1"/>
    <n v="176.31"/>
    <n v="2181.12"/>
    <n v="2004.81"/>
    <x v="1"/>
  </r>
  <r>
    <s v="ORD-0442"/>
    <d v="2025-07-26T00:00:00"/>
    <s v="Crest Solutions"/>
    <s v="Smartphone"/>
    <x v="0"/>
    <s v="East"/>
    <x v="4"/>
    <n v="3"/>
    <n v="614.5"/>
    <n v="0.15"/>
    <x v="3"/>
    <n v="428.08"/>
    <n v="1566.9749999999999"/>
    <n v="1138.895"/>
    <x v="3"/>
  </r>
  <r>
    <s v="ORD-0443"/>
    <d v="2025-11-13T00:00:00"/>
    <s v="Quantum Systems"/>
    <s v="Office Chair"/>
    <x v="1"/>
    <s v="West"/>
    <x v="0"/>
    <n v="5"/>
    <n v="196.15"/>
    <n v="0.05"/>
    <x v="4"/>
    <n v="158.21"/>
    <n v="931.71249999999998"/>
    <n v="773.50249999999994"/>
    <x v="2"/>
  </r>
  <r>
    <s v="ORD-0444"/>
    <d v="2025-11-11T00:00:00"/>
    <s v="Vertex Solutions"/>
    <s v="Smartphone"/>
    <x v="0"/>
    <s v="South"/>
    <x v="3"/>
    <n v="8"/>
    <n v="567.58000000000004"/>
    <n v="0.05"/>
    <x v="2"/>
    <n v="450.78"/>
    <n v="4313.6080000000002"/>
    <n v="3862.8280000000004"/>
    <x v="1"/>
  </r>
  <r>
    <s v="ORD-0445"/>
    <d v="2025-05-25T00:00:00"/>
    <s v="Aarav Enterprises"/>
    <s v="Desk"/>
    <x v="1"/>
    <s v="East"/>
    <x v="0"/>
    <n v="2"/>
    <n v="283.19"/>
    <n v="0.15"/>
    <x v="1"/>
    <n v="175.37"/>
    <n v="481.423"/>
    <n v="306.053"/>
    <x v="3"/>
  </r>
  <r>
    <s v="ORD-0446"/>
    <d v="2025-02-12T00:00:00"/>
    <s v="Delta Stores"/>
    <s v="Backpack"/>
    <x v="2"/>
    <s v="South"/>
    <x v="0"/>
    <n v="5"/>
    <n v="73.81"/>
    <n v="0.05"/>
    <x v="1"/>
    <n v="46.98"/>
    <n v="350.59749999999997"/>
    <n v="303.61749999999995"/>
    <x v="1"/>
  </r>
  <r>
    <s v="ORD-0447"/>
    <d v="2025-08-06T00:00:00"/>
    <s v="Delta Stores"/>
    <s v="Laptop"/>
    <x v="0"/>
    <s v="South"/>
    <x v="0"/>
    <n v="4"/>
    <n v="806.73"/>
    <n v="0.05"/>
    <x v="0"/>
    <n v="632.1"/>
    <n v="3065.5740000000001"/>
    <n v="2433.4740000000002"/>
    <x v="1"/>
  </r>
  <r>
    <s v="ORD-0448"/>
    <d v="2025-06-19T00:00:00"/>
    <s v="BlueSky Retail"/>
    <s v="Smartphone"/>
    <x v="0"/>
    <s v="North"/>
    <x v="3"/>
    <n v="3"/>
    <n v="598.76"/>
    <n v="0"/>
    <x v="4"/>
    <n v="403.56"/>
    <n v="1796.28"/>
    <n v="1392.72"/>
    <x v="0"/>
  </r>
  <r>
    <s v="ORD-0449"/>
    <d v="2025-04-27T00:00:00"/>
    <s v="Innovate India"/>
    <s v="Headphones"/>
    <x v="2"/>
    <s v="West"/>
    <x v="5"/>
    <n v="9"/>
    <n v="151.19"/>
    <n v="0"/>
    <x v="0"/>
    <n v="106.63"/>
    <n v="1360.71"/>
    <n v="1254.08"/>
    <x v="2"/>
  </r>
  <r>
    <s v="ORD-0450"/>
    <d v="2025-10-01T00:00:00"/>
    <s v="Aarav Enterprises"/>
    <s v="Desk"/>
    <x v="1"/>
    <s v="North"/>
    <x v="1"/>
    <n v="1"/>
    <n v="186.61"/>
    <n v="0.15"/>
    <x v="1"/>
    <n v="136.56"/>
    <n v="158.61850000000001"/>
    <n v="22.058500000000009"/>
    <x v="0"/>
  </r>
  <r>
    <s v="ORD-0451"/>
    <d v="2025-02-24T00:00:00"/>
    <s v="Jupiter Retail"/>
    <s v="Laptop"/>
    <x v="0"/>
    <s v="East"/>
    <x v="0"/>
    <n v="2"/>
    <n v="825.22"/>
    <n v="0.1"/>
    <x v="4"/>
    <n v="660.65"/>
    <n v="1485.3960000000002"/>
    <n v="824.74600000000021"/>
    <x v="3"/>
  </r>
  <r>
    <s v="ORD-0452"/>
    <d v="2025-12-05T00:00:00"/>
    <s v="Aarav Enterprises"/>
    <s v="Monitor"/>
    <x v="0"/>
    <s v="West"/>
    <x v="4"/>
    <n v="8"/>
    <n v="341.32"/>
    <n v="0.15"/>
    <x v="1"/>
    <n v="224.14"/>
    <n v="2320.9760000000001"/>
    <n v="2096.8360000000002"/>
    <x v="2"/>
  </r>
  <r>
    <s v="ORD-0453"/>
    <d v="2025-11-21T00:00:00"/>
    <s v="Evergreen Pvt Ltd"/>
    <s v="Keyboard"/>
    <x v="2"/>
    <s v="East"/>
    <x v="1"/>
    <n v="7"/>
    <n v="35.229999999999997"/>
    <n v="0.2"/>
    <x v="2"/>
    <n v="22.18"/>
    <n v="197.28800000000001"/>
    <n v="175.108"/>
    <x v="3"/>
  </r>
  <r>
    <s v="ORD-0454"/>
    <d v="2025-01-03T00:00:00"/>
    <s v="Sunrise Supplies"/>
    <s v="Laptop"/>
    <x v="0"/>
    <s v="West"/>
    <x v="0"/>
    <n v="9"/>
    <n v="788.38"/>
    <n v="0.05"/>
    <x v="1"/>
    <n v="459.84"/>
    <n v="6740.6489999999994"/>
    <n v="6280.8089999999993"/>
    <x v="2"/>
  </r>
  <r>
    <s v="ORD-0455"/>
    <d v="2025-11-27T00:00:00"/>
    <s v="Quantum Systems"/>
    <s v="Smartphone"/>
    <x v="0"/>
    <s v="South"/>
    <x v="4"/>
    <n v="6"/>
    <n v="421.88"/>
    <n v="0.05"/>
    <x v="3"/>
    <n v="279.04000000000002"/>
    <n v="2404.7159999999994"/>
    <n v="2125.6759999999995"/>
    <x v="1"/>
  </r>
  <r>
    <s v="ORD-0456"/>
    <d v="2025-12-10T00:00:00"/>
    <s v="Sunrise Supplies"/>
    <s v="Keyboard"/>
    <x v="2"/>
    <s v="North"/>
    <x v="0"/>
    <n v="5"/>
    <n v="71.27"/>
    <n v="0.05"/>
    <x v="0"/>
    <n v="41.4"/>
    <n v="338.53249999999997"/>
    <n v="297.13249999999999"/>
    <x v="0"/>
  </r>
  <r>
    <s v="ORD-0457"/>
    <d v="2025-10-25T00:00:00"/>
    <s v="Prime Retail"/>
    <s v="Tablet"/>
    <x v="0"/>
    <s v="East"/>
    <x v="2"/>
    <n v="2"/>
    <n v="221.94"/>
    <n v="0.1"/>
    <x v="3"/>
    <n v="127.95"/>
    <n v="399.49200000000002"/>
    <n v="271.54200000000003"/>
    <x v="3"/>
  </r>
  <r>
    <s v="ORD-0458"/>
    <d v="2025-06-12T00:00:00"/>
    <s v="Prime Retail"/>
    <s v="Keyboard"/>
    <x v="2"/>
    <s v="West"/>
    <x v="2"/>
    <n v="10"/>
    <n v="32.5"/>
    <n v="0"/>
    <x v="1"/>
    <n v="25.77"/>
    <n v="325"/>
    <n v="299.23"/>
    <x v="2"/>
  </r>
  <r>
    <s v="ORD-0459"/>
    <d v="2025-06-11T00:00:00"/>
    <s v="Nova Solutions"/>
    <s v="Monitor"/>
    <x v="0"/>
    <s v="South"/>
    <x v="3"/>
    <n v="3"/>
    <n v="323.36"/>
    <n v="0.2"/>
    <x v="2"/>
    <n v="227.34"/>
    <n v="776.06400000000008"/>
    <n v="548.72400000000005"/>
    <x v="1"/>
  </r>
  <r>
    <s v="ORD-0460"/>
    <d v="2025-03-10T00:00:00"/>
    <s v="Kaveri Supplies"/>
    <s v="Keyboard"/>
    <x v="2"/>
    <s v="West"/>
    <x v="5"/>
    <n v="7"/>
    <n v="83.92"/>
    <n v="0.1"/>
    <x v="0"/>
    <n v="65.19"/>
    <n v="528.69600000000003"/>
    <n v="463.50600000000003"/>
    <x v="2"/>
  </r>
  <r>
    <s v="ORD-0461"/>
    <d v="2025-11-27T00:00:00"/>
    <s v="Vertex Solutions"/>
    <s v="Office Chair"/>
    <x v="1"/>
    <s v="North"/>
    <x v="2"/>
    <n v="8"/>
    <n v="298.2"/>
    <n v="0.2"/>
    <x v="3"/>
    <n v="172.77"/>
    <n v="1908.48"/>
    <n v="1735.71"/>
    <x v="0"/>
  </r>
  <r>
    <s v="ORD-0462"/>
    <d v="2025-09-17T00:00:00"/>
    <s v="Aarav Enterprises"/>
    <s v="Tablet"/>
    <x v="0"/>
    <s v="West"/>
    <x v="0"/>
    <n v="2"/>
    <n v="258.93"/>
    <n v="0"/>
    <x v="3"/>
    <n v="204.78"/>
    <n v="517.86"/>
    <n v="313.08000000000004"/>
    <x v="2"/>
  </r>
  <r>
    <s v="ORD-0463"/>
    <d v="2025-03-18T00:00:00"/>
    <s v="Lotus Enterprises"/>
    <s v="Laptop"/>
    <x v="0"/>
    <s v="West"/>
    <x v="4"/>
    <n v="9"/>
    <n v="787.9"/>
    <n v="0.2"/>
    <x v="1"/>
    <n v="533.78"/>
    <n v="5672.88"/>
    <n v="5139.1000000000004"/>
    <x v="2"/>
  </r>
  <r>
    <s v="ORD-0464"/>
    <d v="2025-07-06T00:00:00"/>
    <s v="Quantum Systems"/>
    <s v="Monitor"/>
    <x v="0"/>
    <s v="North"/>
    <x v="1"/>
    <n v="9"/>
    <n v="183.47"/>
    <n v="0.2"/>
    <x v="3"/>
    <n v="105.39"/>
    <n v="1320.9840000000002"/>
    <n v="1215.5940000000001"/>
    <x v="0"/>
  </r>
  <r>
    <s v="ORD-0465"/>
    <d v="2025-04-02T00:00:00"/>
    <s v="Sunrise Supplies"/>
    <s v="Webcam"/>
    <x v="2"/>
    <s v="South"/>
    <x v="1"/>
    <n v="9"/>
    <n v="113.68"/>
    <n v="0.05"/>
    <x v="0"/>
    <n v="76.22"/>
    <n v="971.96400000000006"/>
    <n v="895.74400000000003"/>
    <x v="1"/>
  </r>
  <r>
    <s v="ORD-0466"/>
    <d v="2025-07-09T00:00:00"/>
    <s v="Horizon Tech"/>
    <s v="Office Chair"/>
    <x v="1"/>
    <s v="North"/>
    <x v="1"/>
    <n v="8"/>
    <n v="129.30000000000001"/>
    <n v="0.05"/>
    <x v="3"/>
    <n v="73.31"/>
    <n v="982.68000000000006"/>
    <n v="909.37000000000012"/>
    <x v="0"/>
  </r>
  <r>
    <s v="ORD-0467"/>
    <d v="2025-08-21T00:00:00"/>
    <s v="BlueSky Retail"/>
    <s v="Tablet"/>
    <x v="0"/>
    <s v="North"/>
    <x v="1"/>
    <n v="6"/>
    <n v="472.32"/>
    <n v="0.15"/>
    <x v="2"/>
    <n v="319.67"/>
    <n v="2408.8319999999999"/>
    <n v="2089.1619999999998"/>
    <x v="0"/>
  </r>
  <r>
    <s v="ORD-0468"/>
    <d v="2025-05-15T00:00:00"/>
    <s v="Sunrise Supplies"/>
    <s v="Smartphone"/>
    <x v="0"/>
    <s v="South"/>
    <x v="5"/>
    <n v="9"/>
    <n v="581.49"/>
    <n v="0.1"/>
    <x v="0"/>
    <n v="450.9"/>
    <n v="4710.0690000000004"/>
    <n v="4259.1690000000008"/>
    <x v="1"/>
  </r>
  <r>
    <s v="ORD-0469"/>
    <d v="2025-04-25T00:00:00"/>
    <s v="Quantum Systems"/>
    <s v="Office Chair"/>
    <x v="1"/>
    <s v="West"/>
    <x v="2"/>
    <n v="2"/>
    <n v="255.17"/>
    <n v="0.2"/>
    <x v="2"/>
    <n v="157.68"/>
    <n v="408.27199999999999"/>
    <n v="250.59199999999998"/>
    <x v="2"/>
  </r>
  <r>
    <s v="ORD-0470"/>
    <d v="2025-03-13T00:00:00"/>
    <s v="Orion Traders"/>
    <s v="Backpack"/>
    <x v="2"/>
    <s v="South"/>
    <x v="4"/>
    <n v="10"/>
    <n v="101.34"/>
    <n v="0"/>
    <x v="4"/>
    <n v="69.47"/>
    <n v="1013.4000000000001"/>
    <n v="943.93000000000006"/>
    <x v="1"/>
  </r>
  <r>
    <s v="ORD-0471"/>
    <d v="2025-07-05T00:00:00"/>
    <s v="Vertex Solutions"/>
    <s v="Tablet"/>
    <x v="0"/>
    <s v="North"/>
    <x v="1"/>
    <n v="4"/>
    <n v="393.04"/>
    <n v="0.05"/>
    <x v="3"/>
    <n v="236.01"/>
    <n v="1493.5519999999999"/>
    <n v="1257.5419999999999"/>
    <x v="0"/>
  </r>
  <r>
    <s v="ORD-0472"/>
    <d v="2025-09-03T00:00:00"/>
    <s v="Galaxy Traders"/>
    <s v="Desk"/>
    <x v="1"/>
    <s v="South"/>
    <x v="1"/>
    <n v="2"/>
    <n v="262.23"/>
    <n v="0.15"/>
    <x v="0"/>
    <n v="192.03"/>
    <n v="445.791"/>
    <n v="253.761"/>
    <x v="1"/>
  </r>
  <r>
    <s v="ORD-0473"/>
    <d v="2025-03-10T00:00:00"/>
    <s v="Quantum Systems"/>
    <s v="Laptop"/>
    <x v="0"/>
    <s v="North"/>
    <x v="0"/>
    <n v="3"/>
    <n v="710.92"/>
    <n v="0.2"/>
    <x v="3"/>
    <n v="504.71"/>
    <n v="1706.2079999999999"/>
    <n v="1201.4979999999998"/>
    <x v="0"/>
  </r>
  <r>
    <s v="ORD-0474"/>
    <d v="2025-11-03T00:00:00"/>
    <s v="Sunrise Supplies"/>
    <s v="Laptop"/>
    <x v="0"/>
    <s v="North"/>
    <x v="1"/>
    <n v="3"/>
    <n v="691.59"/>
    <n v="0.2"/>
    <x v="2"/>
    <n v="559.30999999999995"/>
    <n v="1659.816"/>
    <n v="1100.5060000000001"/>
    <x v="0"/>
  </r>
  <r>
    <s v="ORD-0475"/>
    <d v="2025-03-29T00:00:00"/>
    <s v="Horizon Tech"/>
    <s v="Smartphone"/>
    <x v="0"/>
    <s v="West"/>
    <x v="0"/>
    <n v="10"/>
    <n v="386.64"/>
    <n v="0.15"/>
    <x v="3"/>
    <n v="303.19"/>
    <n v="3286.4399999999996"/>
    <n v="2983.2499999999995"/>
    <x v="2"/>
  </r>
  <r>
    <s v="ORD-0476"/>
    <d v="2025-05-16T00:00:00"/>
    <s v="Future Mart"/>
    <s v="Webcam"/>
    <x v="2"/>
    <s v="East"/>
    <x v="5"/>
    <n v="3"/>
    <n v="129.35"/>
    <n v="0.2"/>
    <x v="1"/>
    <n v="94.18"/>
    <n v="310.44"/>
    <n v="216.26"/>
    <x v="3"/>
  </r>
  <r>
    <s v="ORD-0477"/>
    <d v="2025-01-09T00:00:00"/>
    <s v="Galaxy Traders"/>
    <s v="Webcam"/>
    <x v="2"/>
    <s v="West"/>
    <x v="4"/>
    <n v="7"/>
    <n v="42.92"/>
    <n v="0.15"/>
    <x v="1"/>
    <n v="25.14"/>
    <n v="255.374"/>
    <n v="230.23399999999998"/>
    <x v="2"/>
  </r>
  <r>
    <s v="ORD-0478"/>
    <d v="2025-09-30T00:00:00"/>
    <s v="Quantum Systems"/>
    <s v="Smartphone"/>
    <x v="0"/>
    <s v="North"/>
    <x v="3"/>
    <n v="10"/>
    <n v="370.97"/>
    <n v="0.2"/>
    <x v="0"/>
    <n v="207.94"/>
    <n v="2967.76"/>
    <n v="2759.82"/>
    <x v="0"/>
  </r>
  <r>
    <s v="ORD-0479"/>
    <d v="2025-12-14T00:00:00"/>
    <s v="Nova Solutions"/>
    <s v="Headphones"/>
    <x v="2"/>
    <s v="West"/>
    <x v="2"/>
    <n v="9"/>
    <n v="166.28"/>
    <n v="0"/>
    <x v="4"/>
    <n v="131.72"/>
    <n v="1496.52"/>
    <n v="1364.8"/>
    <x v="2"/>
  </r>
  <r>
    <s v="ORD-0480"/>
    <d v="2025-12-23T00:00:00"/>
    <s v="Sunrise Supplies"/>
    <s v="Tablet"/>
    <x v="0"/>
    <s v="North"/>
    <x v="5"/>
    <n v="8"/>
    <n v="328.69"/>
    <n v="0.15"/>
    <x v="3"/>
    <n v="211.89"/>
    <n v="2235.0920000000001"/>
    <n v="2023.2020000000002"/>
    <x v="0"/>
  </r>
  <r>
    <s v="ORD-0481"/>
    <d v="2025-10-06T00:00:00"/>
    <s v="Nova Solutions"/>
    <s v="Monitor"/>
    <x v="0"/>
    <s v="East"/>
    <x v="4"/>
    <n v="4"/>
    <n v="269.29000000000002"/>
    <n v="0"/>
    <x v="4"/>
    <n v="168.71"/>
    <n v="1077.1600000000001"/>
    <n v="908.45"/>
    <x v="3"/>
  </r>
  <r>
    <s v="ORD-0482"/>
    <d v="2025-12-02T00:00:00"/>
    <s v="Galaxy Traders"/>
    <s v="Laptop"/>
    <x v="0"/>
    <s v="East"/>
    <x v="5"/>
    <n v="2"/>
    <n v="794.5"/>
    <n v="0.2"/>
    <x v="2"/>
    <n v="438.52"/>
    <n v="1271.2"/>
    <n v="832.68000000000006"/>
    <x v="3"/>
  </r>
  <r>
    <s v="ORD-0483"/>
    <d v="2025-10-02T00:00:00"/>
    <s v="Nova Solutions"/>
    <s v="Smartphone"/>
    <x v="0"/>
    <s v="East"/>
    <x v="0"/>
    <n v="10"/>
    <n v="361.91"/>
    <n v="0.1"/>
    <x v="2"/>
    <n v="224.58"/>
    <n v="3257.1900000000005"/>
    <n v="3032.6100000000006"/>
    <x v="3"/>
  </r>
  <r>
    <s v="ORD-0484"/>
    <d v="2025-09-05T00:00:00"/>
    <s v="Future Mart"/>
    <s v="Desk"/>
    <x v="1"/>
    <s v="East"/>
    <x v="0"/>
    <n v="7"/>
    <n v="250.99"/>
    <n v="0.2"/>
    <x v="1"/>
    <n v="191.16"/>
    <n v="1405.5440000000001"/>
    <n v="1214.384"/>
    <x v="3"/>
  </r>
  <r>
    <s v="ORD-0485"/>
    <d v="2025-12-28T00:00:00"/>
    <s v="Metro Stores"/>
    <s v="Backpack"/>
    <x v="2"/>
    <s v="South"/>
    <x v="1"/>
    <n v="5"/>
    <n v="52.84"/>
    <n v="0.2"/>
    <x v="4"/>
    <n v="33.97"/>
    <n v="211.36000000000004"/>
    <n v="177.39000000000004"/>
    <x v="1"/>
  </r>
  <r>
    <s v="ORD-0486"/>
    <d v="2025-07-25T00:00:00"/>
    <s v="Kaveri Supplies"/>
    <s v="Keyboard"/>
    <x v="2"/>
    <s v="North"/>
    <x v="4"/>
    <n v="3"/>
    <n v="58.49"/>
    <n v="0"/>
    <x v="0"/>
    <n v="35.56"/>
    <n v="175.47"/>
    <n v="139.91"/>
    <x v="0"/>
  </r>
  <r>
    <s v="ORD-0487"/>
    <d v="2025-08-11T00:00:00"/>
    <s v="Crest Solutions"/>
    <s v="Laptop"/>
    <x v="0"/>
    <s v="North"/>
    <x v="2"/>
    <n v="3"/>
    <n v="851.09"/>
    <n v="0.15"/>
    <x v="3"/>
    <n v="680.86"/>
    <n v="2170.2795000000001"/>
    <n v="1489.4195"/>
    <x v="0"/>
  </r>
  <r>
    <s v="ORD-0488"/>
    <d v="2025-07-25T00:00:00"/>
    <s v="Vertex Solutions"/>
    <s v="Office Chair"/>
    <x v="1"/>
    <s v="East"/>
    <x v="1"/>
    <n v="1"/>
    <n v="138.41"/>
    <n v="0.15"/>
    <x v="1"/>
    <n v="110.91"/>
    <n v="117.6485"/>
    <n v="6.7385000000000019"/>
    <x v="3"/>
  </r>
  <r>
    <s v="ORD-0489"/>
    <d v="2025-04-14T00:00:00"/>
    <s v="Quantum Systems"/>
    <s v="Laptop"/>
    <x v="0"/>
    <s v="East"/>
    <x v="4"/>
    <n v="3"/>
    <n v="886.43"/>
    <n v="0.15"/>
    <x v="4"/>
    <n v="592.6"/>
    <n v="2260.3964999999998"/>
    <n v="1667.7964999999999"/>
    <x v="3"/>
  </r>
  <r>
    <s v="ORD-0490"/>
    <d v="2025-01-19T00:00:00"/>
    <s v="Lotus Enterprises"/>
    <s v="Webcam"/>
    <x v="2"/>
    <s v="South"/>
    <x v="1"/>
    <n v="4"/>
    <n v="93.71"/>
    <n v="0.2"/>
    <x v="4"/>
    <n v="55.83"/>
    <n v="299.87200000000001"/>
    <n v="244.04200000000003"/>
    <x v="1"/>
  </r>
  <r>
    <s v="ORD-0491"/>
    <d v="2025-07-22T00:00:00"/>
    <s v="Metro Stores"/>
    <s v="Headphones"/>
    <x v="2"/>
    <s v="South"/>
    <x v="0"/>
    <n v="5"/>
    <n v="52.16"/>
    <n v="0.15"/>
    <x v="4"/>
    <n v="33.659999999999997"/>
    <n v="221.67999999999995"/>
    <n v="188.01999999999995"/>
    <x v="1"/>
  </r>
  <r>
    <s v="ORD-0492"/>
    <d v="2025-10-14T00:00:00"/>
    <s v="Sunrise Supplies"/>
    <s v="Smartphone"/>
    <x v="0"/>
    <s v="East"/>
    <x v="2"/>
    <n v="9"/>
    <n v="667.67"/>
    <n v="0.1"/>
    <x v="2"/>
    <n v="498.12"/>
    <n v="5408.1269999999995"/>
    <n v="4910.0069999999996"/>
    <x v="3"/>
  </r>
  <r>
    <s v="ORD-0493"/>
    <d v="2025-10-22T00:00:00"/>
    <s v="Aarav Enterprises"/>
    <s v="Keyboard"/>
    <x v="2"/>
    <s v="East"/>
    <x v="4"/>
    <n v="4"/>
    <n v="70.48"/>
    <n v="0.15"/>
    <x v="0"/>
    <n v="56.46"/>
    <n v="239.63200000000001"/>
    <n v="183.172"/>
    <x v="3"/>
  </r>
  <r>
    <s v="ORD-0494"/>
    <d v="2025-03-01T00:00:00"/>
    <s v="Quantum Systems"/>
    <s v="Tablet"/>
    <x v="0"/>
    <s v="East"/>
    <x v="0"/>
    <n v="2"/>
    <n v="231.94"/>
    <n v="0.2"/>
    <x v="1"/>
    <n v="145.99"/>
    <n v="371.10400000000004"/>
    <n v="225.11400000000003"/>
    <x v="3"/>
  </r>
  <r>
    <s v="ORD-0495"/>
    <d v="2025-05-05T00:00:00"/>
    <s v="Kaveri Supplies"/>
    <s v="Monitor"/>
    <x v="0"/>
    <s v="West"/>
    <x v="1"/>
    <n v="7"/>
    <n v="323.55"/>
    <n v="0.2"/>
    <x v="0"/>
    <n v="220.2"/>
    <n v="1811.88"/>
    <n v="1591.68"/>
    <x v="2"/>
  </r>
  <r>
    <s v="ORD-0496"/>
    <d v="2025-07-15T00:00:00"/>
    <s v="Horizon Tech"/>
    <s v="Webcam"/>
    <x v="2"/>
    <s v="South"/>
    <x v="2"/>
    <n v="8"/>
    <n v="134.13"/>
    <n v="0"/>
    <x v="0"/>
    <n v="83.11"/>
    <n v="1073.04"/>
    <n v="989.93"/>
    <x v="1"/>
  </r>
  <r>
    <s v="ORD-0497"/>
    <d v="2025-02-17T00:00:00"/>
    <s v="Metro Stores"/>
    <s v="Office Chair"/>
    <x v="1"/>
    <s v="East"/>
    <x v="3"/>
    <n v="1"/>
    <n v="238.8"/>
    <n v="0.1"/>
    <x v="1"/>
    <n v="147.35"/>
    <n v="214.92000000000002"/>
    <n v="67.570000000000022"/>
    <x v="3"/>
  </r>
  <r>
    <s v="ORD-0498"/>
    <d v="2025-05-18T00:00:00"/>
    <s v="Future Mart"/>
    <s v="Headphones"/>
    <x v="2"/>
    <s v="South"/>
    <x v="5"/>
    <n v="6"/>
    <n v="106.72"/>
    <n v="0.05"/>
    <x v="3"/>
    <n v="84.47"/>
    <n v="608.30399999999986"/>
    <n v="523.83399999999983"/>
    <x v="1"/>
  </r>
  <r>
    <s v="ORD-0499"/>
    <d v="2025-05-08T00:00:00"/>
    <s v="Vertex Solutions"/>
    <s v="Keyboard"/>
    <x v="2"/>
    <s v="East"/>
    <x v="4"/>
    <n v="5"/>
    <n v="80.16"/>
    <n v="0.05"/>
    <x v="4"/>
    <n v="49.05"/>
    <n v="380.75999999999993"/>
    <n v="331.70999999999992"/>
    <x v="3"/>
  </r>
  <r>
    <s v="ORD-0500"/>
    <d v="2025-10-05T00:00:00"/>
    <s v="BlueSky Retail"/>
    <s v="Smartphone"/>
    <x v="0"/>
    <s v="West"/>
    <x v="2"/>
    <n v="8"/>
    <n v="668.08"/>
    <n v="0.2"/>
    <x v="1"/>
    <n v="368.64"/>
    <n v="4275.7120000000004"/>
    <n v="3907.072000000000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7DB6A-245F-4F66-A040-C67B79111429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7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0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B6383-A0F5-4FE0-8694-B8B460B67C1E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:B6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0"/>
        <item x="5"/>
        <item x="3"/>
        <item t="default"/>
      </items>
    </pivotField>
    <pivotField showAll="0"/>
    <pivotField dataField="1"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1F3C3-D03D-4F06-8F63-C039AAEADFE7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4:B5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82753-448A-42DD-AC79-877D1F2F0DA0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4:B4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ADD74-3316-469C-B0AB-5EDCCD6FB5AE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B30" firstHeaderRow="1" firstDataRow="1" firstDataCol="1"/>
  <pivotFields count="15">
    <pivotField showAll="0"/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8C7B3-316B-43BC-9B80-02C00FEDABF1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22" firstHeaderRow="1" firstDataRow="1" firstDataCol="1"/>
  <pivotFields count="15">
    <pivotField showAll="0"/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0B3A5-0F0C-4B67-8C48-309811632AC5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5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B271F-1942-4414-A99B-71CDDED88722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D9848-EDB5-4CAA-84A6-598EAFDAE0AD}" name="Table1" displayName="Table1" ref="A1:O501" totalsRowShown="0" headerRowDxfId="4" headerRowBorderDxfId="6" tableBorderDxfId="7">
  <autoFilter ref="A1:O501" xr:uid="{DE7D9848-EDB5-4CAA-84A6-598EAFDAE0AD}"/>
  <tableColumns count="15">
    <tableColumn id="1" xr3:uid="{691C61BC-1818-441B-BA68-9DB1D46BFE5F}" name="Order ID"/>
    <tableColumn id="2" xr3:uid="{5768C2E3-3C26-4D6E-968E-D1AF493725A9}" name="Order Date" dataDxfId="5"/>
    <tableColumn id="3" xr3:uid="{C3CC1BE6-744C-420C-8345-ECF0045B3142}" name="Customer"/>
    <tableColumn id="4" xr3:uid="{6E895FAD-BEDF-4937-81EF-62D8AA943179}" name="Product"/>
    <tableColumn id="5" xr3:uid="{A3E32380-13E5-428B-918A-C6F8FBF6E340}" name="Category"/>
    <tableColumn id="6" xr3:uid="{CB38DB6B-83FD-4ECA-AD7E-50115874703E}" name="Region"/>
    <tableColumn id="7" xr3:uid="{BDF7AB46-DA50-40F4-A269-E57190B4885D}" name="Salesperson"/>
    <tableColumn id="8" xr3:uid="{A26152B2-02A6-4C5D-8B27-FCC92A6F8510}" name="Quantity"/>
    <tableColumn id="9" xr3:uid="{6B5529BE-73A0-4598-B4BC-E579FAC0888B}" name="Unit Price"/>
    <tableColumn id="10" xr3:uid="{7C9EE004-209A-4E83-8B67-AA2BDB917CE7}" name="Discount"/>
    <tableColumn id="11" xr3:uid="{D9742D6E-247B-446A-82F1-6813C01A826F}" name="Payment Method"/>
    <tableColumn id="12" xr3:uid="{39101056-DD50-4D94-83EE-E41B5990E4A7}" name="Cost"/>
    <tableColumn id="13" xr3:uid="{C4BEFFDC-99CE-4AA8-8ABF-66C114501D2C}" name="Revenue" dataDxfId="3">
      <calculatedColumnFormula>H2*I2*(1-J2)</calculatedColumnFormula>
    </tableColumn>
    <tableColumn id="14" xr3:uid="{BCD3E3A5-2E7C-447E-B158-F4C76D5F809B}" name="Profit" dataDxfId="2">
      <calculatedColumnFormula>M2-L2</calculatedColumnFormula>
    </tableColumn>
    <tableColumn id="15" xr3:uid="{4AD2A62C-AFDF-4B22-9FD3-6F755690A04B}" name="Column" dataDxfId="1">
      <calculatedColumnFormula>TRIM(CLEAN(SUBSTITUTE(F2,CHAR(160)," 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2BF8-8E99-45A8-9652-3B9ACDFD18F2}">
  <dimension ref="A1:O501"/>
  <sheetViews>
    <sheetView topLeftCell="A2" workbookViewId="0"/>
  </sheetViews>
  <sheetFormatPr defaultRowHeight="14.4" x14ac:dyDescent="0.3"/>
  <cols>
    <col min="1" max="1" width="13.109375" customWidth="1"/>
    <col min="2" max="3" width="16.21875" customWidth="1"/>
    <col min="4" max="4" width="14.6640625" customWidth="1"/>
    <col min="5" max="5" width="12.88671875" customWidth="1"/>
    <col min="6" max="6" width="11.109375" customWidth="1"/>
    <col min="7" max="7" width="14" customWidth="1"/>
    <col min="8" max="8" width="10" customWidth="1"/>
    <col min="9" max="9" width="13.109375" customWidth="1"/>
    <col min="10" max="10" width="11.44140625" customWidth="1"/>
    <col min="11" max="11" width="16.77734375" customWidth="1"/>
    <col min="13" max="13" width="11.33203125" customWidth="1"/>
    <col min="14" max="14" width="9.8867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564</v>
      </c>
      <c r="N1" s="2" t="s">
        <v>565</v>
      </c>
      <c r="O1" s="2" t="s">
        <v>575</v>
      </c>
    </row>
    <row r="2" spans="1:15" x14ac:dyDescent="0.3">
      <c r="A2" t="s">
        <v>12</v>
      </c>
      <c r="B2" s="1">
        <v>45710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310</v>
      </c>
      <c r="J2">
        <v>0.05</v>
      </c>
      <c r="K2" t="s">
        <v>18</v>
      </c>
      <c r="L2">
        <v>189.18</v>
      </c>
      <c r="M2">
        <f t="shared" ref="M2:M65" si="0">H2*I2*(1-J2)</f>
        <v>1472.5</v>
      </c>
      <c r="N2">
        <f t="shared" ref="N2:N65" si="1">M2-L2</f>
        <v>1283.32</v>
      </c>
      <c r="O2" t="str">
        <f t="shared" ref="O2:O65" si="2">TRIM(CLEAN(SUBSTITUTE(F2,CHAR(160)," ")))</f>
        <v>North</v>
      </c>
    </row>
    <row r="3" spans="1:15" x14ac:dyDescent="0.3">
      <c r="A3" t="s">
        <v>19</v>
      </c>
      <c r="B3" s="1">
        <v>45671</v>
      </c>
      <c r="C3" t="s">
        <v>13</v>
      </c>
      <c r="D3" t="s">
        <v>20</v>
      </c>
      <c r="E3" t="s">
        <v>15</v>
      </c>
      <c r="F3" t="s">
        <v>21</v>
      </c>
      <c r="G3" t="s">
        <v>22</v>
      </c>
      <c r="H3">
        <v>4</v>
      </c>
      <c r="I3">
        <v>657.45</v>
      </c>
      <c r="J3">
        <v>0.05</v>
      </c>
      <c r="K3" t="s">
        <v>23</v>
      </c>
      <c r="L3">
        <v>451.3</v>
      </c>
      <c r="M3">
        <f t="shared" si="0"/>
        <v>2498.31</v>
      </c>
      <c r="N3">
        <f t="shared" si="1"/>
        <v>2047.01</v>
      </c>
      <c r="O3" t="str">
        <f t="shared" si="2"/>
        <v>South</v>
      </c>
    </row>
    <row r="4" spans="1:15" x14ac:dyDescent="0.3">
      <c r="A4" t="s">
        <v>24</v>
      </c>
      <c r="B4" s="1">
        <v>45661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10</v>
      </c>
      <c r="I4">
        <v>144.09</v>
      </c>
      <c r="J4">
        <v>0.1</v>
      </c>
      <c r="K4" t="s">
        <v>30</v>
      </c>
      <c r="L4">
        <v>110.74</v>
      </c>
      <c r="M4">
        <f t="shared" si="0"/>
        <v>1296.8100000000002</v>
      </c>
      <c r="N4">
        <f t="shared" si="1"/>
        <v>1186.0700000000002</v>
      </c>
      <c r="O4" t="str">
        <f t="shared" si="2"/>
        <v>West</v>
      </c>
    </row>
    <row r="5" spans="1:15" x14ac:dyDescent="0.3">
      <c r="A5" t="s">
        <v>31</v>
      </c>
      <c r="B5" s="1">
        <v>45707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>
        <v>6</v>
      </c>
      <c r="I5">
        <v>70.14</v>
      </c>
      <c r="J5">
        <v>0</v>
      </c>
      <c r="K5" t="s">
        <v>30</v>
      </c>
      <c r="L5">
        <v>40.33</v>
      </c>
      <c r="M5">
        <f t="shared" si="0"/>
        <v>420.84000000000003</v>
      </c>
      <c r="N5">
        <f t="shared" si="1"/>
        <v>380.51000000000005</v>
      </c>
      <c r="O5" t="str">
        <f t="shared" si="2"/>
        <v>East</v>
      </c>
    </row>
    <row r="6" spans="1:15" x14ac:dyDescent="0.3">
      <c r="A6" t="s">
        <v>36</v>
      </c>
      <c r="B6" s="1">
        <v>45851</v>
      </c>
      <c r="C6" t="s">
        <v>37</v>
      </c>
      <c r="D6" t="s">
        <v>20</v>
      </c>
      <c r="E6" t="s">
        <v>15</v>
      </c>
      <c r="F6" t="s">
        <v>35</v>
      </c>
      <c r="G6" t="s">
        <v>22</v>
      </c>
      <c r="H6">
        <v>9</v>
      </c>
      <c r="I6">
        <v>832.43</v>
      </c>
      <c r="J6">
        <v>0</v>
      </c>
      <c r="K6" t="s">
        <v>23</v>
      </c>
      <c r="L6">
        <v>676.55</v>
      </c>
      <c r="M6">
        <f t="shared" si="0"/>
        <v>7491.87</v>
      </c>
      <c r="N6">
        <f t="shared" si="1"/>
        <v>6815.32</v>
      </c>
      <c r="O6" t="str">
        <f t="shared" si="2"/>
        <v>East</v>
      </c>
    </row>
    <row r="7" spans="1:15" x14ac:dyDescent="0.3">
      <c r="A7" t="s">
        <v>38</v>
      </c>
      <c r="B7" s="1">
        <v>45806</v>
      </c>
      <c r="C7" t="s">
        <v>37</v>
      </c>
      <c r="D7" t="s">
        <v>39</v>
      </c>
      <c r="E7" t="s">
        <v>27</v>
      </c>
      <c r="F7" t="s">
        <v>21</v>
      </c>
      <c r="G7" t="s">
        <v>40</v>
      </c>
      <c r="H7">
        <v>2</v>
      </c>
      <c r="I7">
        <v>252.79</v>
      </c>
      <c r="J7">
        <v>0</v>
      </c>
      <c r="K7" t="s">
        <v>18</v>
      </c>
      <c r="L7">
        <v>184.17</v>
      </c>
      <c r="M7">
        <f t="shared" si="0"/>
        <v>505.58</v>
      </c>
      <c r="N7">
        <f t="shared" si="1"/>
        <v>321.40999999999997</v>
      </c>
      <c r="O7" t="str">
        <f t="shared" si="2"/>
        <v>South</v>
      </c>
    </row>
    <row r="8" spans="1:15" x14ac:dyDescent="0.3">
      <c r="A8" t="s">
        <v>41</v>
      </c>
      <c r="B8" s="1">
        <v>45765</v>
      </c>
      <c r="C8" t="s">
        <v>42</v>
      </c>
      <c r="D8" t="s">
        <v>43</v>
      </c>
      <c r="E8" t="s">
        <v>15</v>
      </c>
      <c r="F8" t="s">
        <v>16</v>
      </c>
      <c r="G8" t="s">
        <v>17</v>
      </c>
      <c r="H8">
        <v>6</v>
      </c>
      <c r="I8">
        <v>263.35000000000002</v>
      </c>
      <c r="J8">
        <v>0.05</v>
      </c>
      <c r="K8" t="s">
        <v>44</v>
      </c>
      <c r="L8">
        <v>171.16</v>
      </c>
      <c r="M8">
        <f t="shared" si="0"/>
        <v>1501.095</v>
      </c>
      <c r="N8">
        <f t="shared" si="1"/>
        <v>1329.9349999999999</v>
      </c>
      <c r="O8" t="str">
        <f t="shared" si="2"/>
        <v>North</v>
      </c>
    </row>
    <row r="9" spans="1:15" x14ac:dyDescent="0.3">
      <c r="A9" t="s">
        <v>45</v>
      </c>
      <c r="B9" s="1">
        <v>45985</v>
      </c>
      <c r="C9" t="s">
        <v>13</v>
      </c>
      <c r="D9" t="s">
        <v>46</v>
      </c>
      <c r="E9" t="s">
        <v>15</v>
      </c>
      <c r="F9" t="s">
        <v>21</v>
      </c>
      <c r="G9" t="s">
        <v>22</v>
      </c>
      <c r="H9">
        <v>3</v>
      </c>
      <c r="I9">
        <v>418.74</v>
      </c>
      <c r="J9">
        <v>0.15</v>
      </c>
      <c r="K9" t="s">
        <v>30</v>
      </c>
      <c r="L9">
        <v>273.20999999999998</v>
      </c>
      <c r="M9">
        <f t="shared" si="0"/>
        <v>1067.787</v>
      </c>
      <c r="N9">
        <f t="shared" si="1"/>
        <v>794.577</v>
      </c>
      <c r="O9" t="str">
        <f t="shared" si="2"/>
        <v>South</v>
      </c>
    </row>
    <row r="10" spans="1:15" x14ac:dyDescent="0.3">
      <c r="A10" t="s">
        <v>47</v>
      </c>
      <c r="B10" s="1">
        <v>45691</v>
      </c>
      <c r="C10" t="s">
        <v>48</v>
      </c>
      <c r="D10" t="s">
        <v>20</v>
      </c>
      <c r="E10" t="s">
        <v>15</v>
      </c>
      <c r="F10" t="s">
        <v>35</v>
      </c>
      <c r="G10" t="s">
        <v>49</v>
      </c>
      <c r="H10">
        <v>1</v>
      </c>
      <c r="I10">
        <v>707.26</v>
      </c>
      <c r="J10">
        <v>0.1</v>
      </c>
      <c r="K10" t="s">
        <v>18</v>
      </c>
      <c r="L10">
        <v>465.6</v>
      </c>
      <c r="M10">
        <f t="shared" si="0"/>
        <v>636.53399999999999</v>
      </c>
      <c r="N10">
        <f t="shared" si="1"/>
        <v>170.93399999999997</v>
      </c>
      <c r="O10" t="str">
        <f t="shared" si="2"/>
        <v>East</v>
      </c>
    </row>
    <row r="11" spans="1:15" x14ac:dyDescent="0.3">
      <c r="A11" t="s">
        <v>50</v>
      </c>
      <c r="B11" s="1">
        <v>45784</v>
      </c>
      <c r="C11" t="s">
        <v>13</v>
      </c>
      <c r="D11" t="s">
        <v>26</v>
      </c>
      <c r="E11" t="s">
        <v>27</v>
      </c>
      <c r="F11" t="s">
        <v>35</v>
      </c>
      <c r="G11" t="s">
        <v>22</v>
      </c>
      <c r="H11">
        <v>8</v>
      </c>
      <c r="I11">
        <v>276.94</v>
      </c>
      <c r="J11">
        <v>0.05</v>
      </c>
      <c r="K11" t="s">
        <v>23</v>
      </c>
      <c r="L11">
        <v>172.12</v>
      </c>
      <c r="M11">
        <f t="shared" si="0"/>
        <v>2104.7439999999997</v>
      </c>
      <c r="N11">
        <f t="shared" si="1"/>
        <v>1932.6239999999998</v>
      </c>
      <c r="O11" t="str">
        <f t="shared" si="2"/>
        <v>East</v>
      </c>
    </row>
    <row r="12" spans="1:15" x14ac:dyDescent="0.3">
      <c r="A12" t="s">
        <v>51</v>
      </c>
      <c r="B12" s="1">
        <v>45728</v>
      </c>
      <c r="C12" t="s">
        <v>52</v>
      </c>
      <c r="D12" t="s">
        <v>26</v>
      </c>
      <c r="E12" t="s">
        <v>27</v>
      </c>
      <c r="F12" t="s">
        <v>28</v>
      </c>
      <c r="G12" t="s">
        <v>40</v>
      </c>
      <c r="H12">
        <v>7</v>
      </c>
      <c r="I12">
        <v>279.56</v>
      </c>
      <c r="J12">
        <v>0.1</v>
      </c>
      <c r="K12" t="s">
        <v>53</v>
      </c>
      <c r="L12">
        <v>170.31</v>
      </c>
      <c r="M12">
        <f t="shared" si="0"/>
        <v>1761.2280000000001</v>
      </c>
      <c r="N12">
        <f t="shared" si="1"/>
        <v>1590.9180000000001</v>
      </c>
      <c r="O12" t="str">
        <f t="shared" si="2"/>
        <v>West</v>
      </c>
    </row>
    <row r="13" spans="1:15" x14ac:dyDescent="0.3">
      <c r="A13" t="s">
        <v>54</v>
      </c>
      <c r="B13" s="1">
        <v>45855</v>
      </c>
      <c r="C13" t="s">
        <v>55</v>
      </c>
      <c r="D13" t="s">
        <v>14</v>
      </c>
      <c r="E13" t="s">
        <v>15</v>
      </c>
      <c r="F13" t="s">
        <v>28</v>
      </c>
      <c r="G13" t="s">
        <v>17</v>
      </c>
      <c r="H13">
        <v>3</v>
      </c>
      <c r="I13">
        <v>361.14</v>
      </c>
      <c r="J13">
        <v>0.15</v>
      </c>
      <c r="K13" t="s">
        <v>30</v>
      </c>
      <c r="L13">
        <v>256.77999999999997</v>
      </c>
      <c r="M13">
        <f t="shared" si="0"/>
        <v>920.90700000000004</v>
      </c>
      <c r="N13">
        <f t="shared" si="1"/>
        <v>664.12700000000007</v>
      </c>
      <c r="O13" t="str">
        <f t="shared" si="2"/>
        <v>West</v>
      </c>
    </row>
    <row r="14" spans="1:15" x14ac:dyDescent="0.3">
      <c r="A14" t="s">
        <v>56</v>
      </c>
      <c r="B14" s="1">
        <v>45932</v>
      </c>
      <c r="C14" t="s">
        <v>42</v>
      </c>
      <c r="D14" t="s">
        <v>46</v>
      </c>
      <c r="E14" t="s">
        <v>15</v>
      </c>
      <c r="F14" t="s">
        <v>35</v>
      </c>
      <c r="G14" t="s">
        <v>40</v>
      </c>
      <c r="H14">
        <v>1</v>
      </c>
      <c r="I14">
        <v>458.23</v>
      </c>
      <c r="J14">
        <v>0</v>
      </c>
      <c r="K14" t="s">
        <v>30</v>
      </c>
      <c r="L14">
        <v>336.37</v>
      </c>
      <c r="M14">
        <f t="shared" si="0"/>
        <v>458.23</v>
      </c>
      <c r="N14">
        <f t="shared" si="1"/>
        <v>121.86000000000001</v>
      </c>
      <c r="O14" t="str">
        <f t="shared" si="2"/>
        <v>East</v>
      </c>
    </row>
    <row r="15" spans="1:15" x14ac:dyDescent="0.3">
      <c r="A15" t="s">
        <v>57</v>
      </c>
      <c r="B15" s="1">
        <v>45749</v>
      </c>
      <c r="C15" t="s">
        <v>52</v>
      </c>
      <c r="D15" t="s">
        <v>26</v>
      </c>
      <c r="E15" t="s">
        <v>27</v>
      </c>
      <c r="F15" t="s">
        <v>16</v>
      </c>
      <c r="G15" t="s">
        <v>22</v>
      </c>
      <c r="H15">
        <v>1</v>
      </c>
      <c r="I15">
        <v>131.63</v>
      </c>
      <c r="J15">
        <v>0.1</v>
      </c>
      <c r="K15" t="s">
        <v>30</v>
      </c>
      <c r="L15">
        <v>106.94</v>
      </c>
      <c r="M15">
        <f t="shared" si="0"/>
        <v>118.467</v>
      </c>
      <c r="N15">
        <f t="shared" si="1"/>
        <v>11.527000000000001</v>
      </c>
      <c r="O15" t="str">
        <f t="shared" si="2"/>
        <v>North</v>
      </c>
    </row>
    <row r="16" spans="1:15" x14ac:dyDescent="0.3">
      <c r="A16" t="s">
        <v>58</v>
      </c>
      <c r="B16" s="1">
        <v>45934</v>
      </c>
      <c r="C16" t="s">
        <v>52</v>
      </c>
      <c r="D16" t="s">
        <v>46</v>
      </c>
      <c r="E16" t="s">
        <v>15</v>
      </c>
      <c r="F16" t="s">
        <v>16</v>
      </c>
      <c r="G16" t="s">
        <v>17</v>
      </c>
      <c r="H16">
        <v>3</v>
      </c>
      <c r="I16">
        <v>382.69</v>
      </c>
      <c r="J16">
        <v>0.1</v>
      </c>
      <c r="K16" t="s">
        <v>30</v>
      </c>
      <c r="L16">
        <v>289.27</v>
      </c>
      <c r="M16">
        <f t="shared" si="0"/>
        <v>1033.2629999999999</v>
      </c>
      <c r="N16">
        <f t="shared" si="1"/>
        <v>743.99299999999994</v>
      </c>
      <c r="O16" t="str">
        <f t="shared" si="2"/>
        <v>North</v>
      </c>
    </row>
    <row r="17" spans="1:15" x14ac:dyDescent="0.3">
      <c r="A17" t="s">
        <v>59</v>
      </c>
      <c r="B17" s="1">
        <v>45781</v>
      </c>
      <c r="C17" t="s">
        <v>60</v>
      </c>
      <c r="D17" t="s">
        <v>61</v>
      </c>
      <c r="E17" t="s">
        <v>34</v>
      </c>
      <c r="F17" t="s">
        <v>16</v>
      </c>
      <c r="G17" t="s">
        <v>40</v>
      </c>
      <c r="H17">
        <v>6</v>
      </c>
      <c r="I17">
        <v>31.75</v>
      </c>
      <c r="J17">
        <v>0.1</v>
      </c>
      <c r="K17" t="s">
        <v>18</v>
      </c>
      <c r="L17">
        <v>19.52</v>
      </c>
      <c r="M17">
        <f t="shared" si="0"/>
        <v>171.45000000000002</v>
      </c>
      <c r="N17">
        <f t="shared" si="1"/>
        <v>151.93</v>
      </c>
      <c r="O17" t="str">
        <f t="shared" si="2"/>
        <v>North</v>
      </c>
    </row>
    <row r="18" spans="1:15" x14ac:dyDescent="0.3">
      <c r="A18" t="s">
        <v>62</v>
      </c>
      <c r="B18" s="1">
        <v>45901</v>
      </c>
      <c r="C18" t="s">
        <v>13</v>
      </c>
      <c r="D18" t="s">
        <v>14</v>
      </c>
      <c r="E18" t="s">
        <v>15</v>
      </c>
      <c r="F18" t="s">
        <v>21</v>
      </c>
      <c r="G18" t="s">
        <v>29</v>
      </c>
      <c r="H18">
        <v>9</v>
      </c>
      <c r="I18">
        <v>691.19</v>
      </c>
      <c r="J18">
        <v>0.05</v>
      </c>
      <c r="K18" t="s">
        <v>23</v>
      </c>
      <c r="L18">
        <v>404.12</v>
      </c>
      <c r="M18">
        <f t="shared" si="0"/>
        <v>5909.674500000001</v>
      </c>
      <c r="N18">
        <f t="shared" si="1"/>
        <v>5505.5545000000011</v>
      </c>
      <c r="O18" t="str">
        <f t="shared" si="2"/>
        <v>South</v>
      </c>
    </row>
    <row r="19" spans="1:15" x14ac:dyDescent="0.3">
      <c r="A19" t="s">
        <v>63</v>
      </c>
      <c r="B19" s="1">
        <v>46011</v>
      </c>
      <c r="C19" t="s">
        <v>48</v>
      </c>
      <c r="D19" t="s">
        <v>64</v>
      </c>
      <c r="E19" t="s">
        <v>34</v>
      </c>
      <c r="F19" t="s">
        <v>35</v>
      </c>
      <c r="G19" t="s">
        <v>65</v>
      </c>
      <c r="H19">
        <v>4</v>
      </c>
      <c r="I19">
        <v>83.66</v>
      </c>
      <c r="J19">
        <v>0.2</v>
      </c>
      <c r="K19" t="s">
        <v>30</v>
      </c>
      <c r="L19">
        <v>63.07</v>
      </c>
      <c r="M19">
        <f t="shared" si="0"/>
        <v>267.71199999999999</v>
      </c>
      <c r="N19">
        <f t="shared" si="1"/>
        <v>204.642</v>
      </c>
      <c r="O19" t="str">
        <f t="shared" si="2"/>
        <v>East</v>
      </c>
    </row>
    <row r="20" spans="1:15" x14ac:dyDescent="0.3">
      <c r="A20" t="s">
        <v>66</v>
      </c>
      <c r="B20" s="1">
        <v>45690</v>
      </c>
      <c r="C20" t="s">
        <v>67</v>
      </c>
      <c r="D20" t="s">
        <v>61</v>
      </c>
      <c r="E20" t="s">
        <v>34</v>
      </c>
      <c r="F20" t="s">
        <v>16</v>
      </c>
      <c r="G20" t="s">
        <v>17</v>
      </c>
      <c r="H20">
        <v>8</v>
      </c>
      <c r="I20">
        <v>110.97</v>
      </c>
      <c r="J20">
        <v>0</v>
      </c>
      <c r="K20" t="s">
        <v>23</v>
      </c>
      <c r="L20">
        <v>68.459999999999994</v>
      </c>
      <c r="M20">
        <f t="shared" si="0"/>
        <v>887.76</v>
      </c>
      <c r="N20">
        <f t="shared" si="1"/>
        <v>819.3</v>
      </c>
      <c r="O20" t="str">
        <f t="shared" si="2"/>
        <v>North</v>
      </c>
    </row>
    <row r="21" spans="1:15" x14ac:dyDescent="0.3">
      <c r="A21" t="s">
        <v>68</v>
      </c>
      <c r="B21" s="1">
        <v>45688</v>
      </c>
      <c r="C21" t="s">
        <v>69</v>
      </c>
      <c r="D21" t="s">
        <v>70</v>
      </c>
      <c r="E21" t="s">
        <v>34</v>
      </c>
      <c r="F21" t="s">
        <v>16</v>
      </c>
      <c r="G21" t="s">
        <v>40</v>
      </c>
      <c r="H21">
        <v>1</v>
      </c>
      <c r="I21">
        <v>69.13</v>
      </c>
      <c r="J21">
        <v>0</v>
      </c>
      <c r="K21" t="s">
        <v>30</v>
      </c>
      <c r="L21">
        <v>51.23</v>
      </c>
      <c r="M21">
        <f t="shared" si="0"/>
        <v>69.13</v>
      </c>
      <c r="N21">
        <f t="shared" si="1"/>
        <v>17.899999999999999</v>
      </c>
      <c r="O21" t="str">
        <f t="shared" si="2"/>
        <v>North</v>
      </c>
    </row>
    <row r="22" spans="1:15" x14ac:dyDescent="0.3">
      <c r="A22" t="s">
        <v>71</v>
      </c>
      <c r="B22" s="1">
        <v>45725</v>
      </c>
      <c r="C22" t="s">
        <v>60</v>
      </c>
      <c r="D22" t="s">
        <v>14</v>
      </c>
      <c r="E22" t="s">
        <v>15</v>
      </c>
      <c r="F22" t="s">
        <v>28</v>
      </c>
      <c r="G22" t="s">
        <v>49</v>
      </c>
      <c r="H22">
        <v>5</v>
      </c>
      <c r="I22">
        <v>505.66</v>
      </c>
      <c r="J22">
        <v>0.15</v>
      </c>
      <c r="K22" t="s">
        <v>18</v>
      </c>
      <c r="L22">
        <v>307.36</v>
      </c>
      <c r="M22">
        <f t="shared" si="0"/>
        <v>2149.0550000000003</v>
      </c>
      <c r="N22">
        <f t="shared" si="1"/>
        <v>1841.6950000000002</v>
      </c>
      <c r="O22" t="str">
        <f t="shared" si="2"/>
        <v>West</v>
      </c>
    </row>
    <row r="23" spans="1:15" x14ac:dyDescent="0.3">
      <c r="A23" t="s">
        <v>72</v>
      </c>
      <c r="B23" s="1">
        <v>45868</v>
      </c>
      <c r="C23" t="s">
        <v>73</v>
      </c>
      <c r="D23" t="s">
        <v>26</v>
      </c>
      <c r="E23" t="s">
        <v>27</v>
      </c>
      <c r="F23" t="s">
        <v>16</v>
      </c>
      <c r="G23" t="s">
        <v>22</v>
      </c>
      <c r="H23">
        <v>2</v>
      </c>
      <c r="I23">
        <v>138.08000000000001</v>
      </c>
      <c r="J23">
        <v>0.15</v>
      </c>
      <c r="K23" t="s">
        <v>53</v>
      </c>
      <c r="L23">
        <v>89.15</v>
      </c>
      <c r="M23">
        <f t="shared" si="0"/>
        <v>234.73600000000002</v>
      </c>
      <c r="N23">
        <f t="shared" si="1"/>
        <v>145.58600000000001</v>
      </c>
      <c r="O23" t="str">
        <f t="shared" si="2"/>
        <v>North</v>
      </c>
    </row>
    <row r="24" spans="1:15" x14ac:dyDescent="0.3">
      <c r="A24" t="s">
        <v>74</v>
      </c>
      <c r="B24" s="1">
        <v>45755</v>
      </c>
      <c r="C24" t="s">
        <v>13</v>
      </c>
      <c r="D24" t="s">
        <v>20</v>
      </c>
      <c r="E24" t="s">
        <v>15</v>
      </c>
      <c r="F24" t="s">
        <v>28</v>
      </c>
      <c r="G24" t="s">
        <v>49</v>
      </c>
      <c r="H24">
        <v>6</v>
      </c>
      <c r="I24">
        <v>750.66</v>
      </c>
      <c r="J24">
        <v>0</v>
      </c>
      <c r="K24" t="s">
        <v>18</v>
      </c>
      <c r="L24">
        <v>463.26</v>
      </c>
      <c r="M24">
        <f t="shared" si="0"/>
        <v>4503.96</v>
      </c>
      <c r="N24">
        <f t="shared" si="1"/>
        <v>4040.7</v>
      </c>
      <c r="O24" t="str">
        <f t="shared" si="2"/>
        <v>West</v>
      </c>
    </row>
    <row r="25" spans="1:15" x14ac:dyDescent="0.3">
      <c r="A25" t="s">
        <v>75</v>
      </c>
      <c r="B25" s="1">
        <v>45939</v>
      </c>
      <c r="C25" t="s">
        <v>76</v>
      </c>
      <c r="D25" t="s">
        <v>33</v>
      </c>
      <c r="E25" t="s">
        <v>34</v>
      </c>
      <c r="F25" t="s">
        <v>16</v>
      </c>
      <c r="G25" t="s">
        <v>22</v>
      </c>
      <c r="H25">
        <v>4</v>
      </c>
      <c r="I25">
        <v>79</v>
      </c>
      <c r="J25">
        <v>0</v>
      </c>
      <c r="K25" t="s">
        <v>23</v>
      </c>
      <c r="L25">
        <v>52.9</v>
      </c>
      <c r="M25">
        <f t="shared" si="0"/>
        <v>316</v>
      </c>
      <c r="N25">
        <f t="shared" si="1"/>
        <v>263.10000000000002</v>
      </c>
      <c r="O25" t="str">
        <f t="shared" si="2"/>
        <v>North</v>
      </c>
    </row>
    <row r="26" spans="1:15" x14ac:dyDescent="0.3">
      <c r="A26" t="s">
        <v>77</v>
      </c>
      <c r="B26" s="1">
        <v>45904</v>
      </c>
      <c r="C26" t="s">
        <v>562</v>
      </c>
      <c r="D26" t="s">
        <v>20</v>
      </c>
      <c r="E26" t="s">
        <v>15</v>
      </c>
      <c r="F26" t="s">
        <v>28</v>
      </c>
      <c r="G26" t="s">
        <v>40</v>
      </c>
      <c r="H26">
        <v>4</v>
      </c>
      <c r="I26">
        <v>892.25</v>
      </c>
      <c r="J26">
        <v>0.05</v>
      </c>
      <c r="K26" t="s">
        <v>44</v>
      </c>
      <c r="L26">
        <v>588.65</v>
      </c>
      <c r="M26">
        <f t="shared" si="0"/>
        <v>3390.5499999999997</v>
      </c>
      <c r="N26">
        <f t="shared" si="1"/>
        <v>2801.8999999999996</v>
      </c>
      <c r="O26" t="str">
        <f t="shared" si="2"/>
        <v>West</v>
      </c>
    </row>
    <row r="27" spans="1:15" x14ac:dyDescent="0.3">
      <c r="A27" t="s">
        <v>78</v>
      </c>
      <c r="B27" s="1">
        <v>45890</v>
      </c>
      <c r="C27" t="s">
        <v>79</v>
      </c>
      <c r="D27" t="s">
        <v>26</v>
      </c>
      <c r="E27" t="s">
        <v>27</v>
      </c>
      <c r="F27" t="s">
        <v>28</v>
      </c>
      <c r="G27" t="s">
        <v>22</v>
      </c>
      <c r="H27">
        <v>7</v>
      </c>
      <c r="I27">
        <v>100.43</v>
      </c>
      <c r="J27">
        <v>0.1</v>
      </c>
      <c r="K27" t="s">
        <v>23</v>
      </c>
      <c r="L27">
        <v>80.36</v>
      </c>
      <c r="M27">
        <f t="shared" si="0"/>
        <v>632.70900000000006</v>
      </c>
      <c r="N27">
        <f t="shared" si="1"/>
        <v>552.34900000000005</v>
      </c>
      <c r="O27" t="str">
        <f t="shared" si="2"/>
        <v>West</v>
      </c>
    </row>
    <row r="28" spans="1:15" x14ac:dyDescent="0.3">
      <c r="A28" t="s">
        <v>80</v>
      </c>
      <c r="B28" s="1">
        <v>45954</v>
      </c>
      <c r="C28" t="s">
        <v>13</v>
      </c>
      <c r="D28" t="s">
        <v>61</v>
      </c>
      <c r="E28" t="s">
        <v>34</v>
      </c>
      <c r="F28" t="s">
        <v>16</v>
      </c>
      <c r="G28" t="s">
        <v>22</v>
      </c>
      <c r="H28">
        <v>5</v>
      </c>
      <c r="I28">
        <v>43.93</v>
      </c>
      <c r="J28">
        <v>0.05</v>
      </c>
      <c r="K28" t="s">
        <v>30</v>
      </c>
      <c r="L28">
        <v>35.65</v>
      </c>
      <c r="M28">
        <f t="shared" si="0"/>
        <v>208.66749999999999</v>
      </c>
      <c r="N28">
        <f t="shared" si="1"/>
        <v>173.01749999999998</v>
      </c>
      <c r="O28" t="str">
        <f t="shared" si="2"/>
        <v>North</v>
      </c>
    </row>
    <row r="29" spans="1:15" x14ac:dyDescent="0.3">
      <c r="A29" t="s">
        <v>81</v>
      </c>
      <c r="B29" s="1">
        <v>45929</v>
      </c>
      <c r="C29" t="s">
        <v>25</v>
      </c>
      <c r="D29" t="s">
        <v>20</v>
      </c>
      <c r="E29" t="s">
        <v>15</v>
      </c>
      <c r="F29" t="s">
        <v>16</v>
      </c>
      <c r="G29" t="s">
        <v>17</v>
      </c>
      <c r="H29">
        <v>8</v>
      </c>
      <c r="I29">
        <v>662.54</v>
      </c>
      <c r="J29">
        <v>0.2</v>
      </c>
      <c r="K29" t="s">
        <v>53</v>
      </c>
      <c r="L29">
        <v>528.86</v>
      </c>
      <c r="M29">
        <f t="shared" si="0"/>
        <v>4240.2560000000003</v>
      </c>
      <c r="N29">
        <f t="shared" si="1"/>
        <v>3711.3960000000002</v>
      </c>
      <c r="O29" t="str">
        <f t="shared" si="2"/>
        <v>North</v>
      </c>
    </row>
    <row r="30" spans="1:15" x14ac:dyDescent="0.3">
      <c r="A30" t="s">
        <v>82</v>
      </c>
      <c r="B30" s="1">
        <v>45949</v>
      </c>
      <c r="C30" t="s">
        <v>69</v>
      </c>
      <c r="D30" t="s">
        <v>33</v>
      </c>
      <c r="E30" t="s">
        <v>34</v>
      </c>
      <c r="F30" t="s">
        <v>16</v>
      </c>
      <c r="G30" t="s">
        <v>17</v>
      </c>
      <c r="H30">
        <v>2</v>
      </c>
      <c r="I30">
        <v>49.59</v>
      </c>
      <c r="J30">
        <v>0.05</v>
      </c>
      <c r="K30" t="s">
        <v>53</v>
      </c>
      <c r="L30">
        <v>32.68</v>
      </c>
      <c r="M30">
        <f t="shared" si="0"/>
        <v>94.221000000000004</v>
      </c>
      <c r="N30">
        <f t="shared" si="1"/>
        <v>61.541000000000004</v>
      </c>
      <c r="O30" t="str">
        <f t="shared" si="2"/>
        <v>North</v>
      </c>
    </row>
    <row r="31" spans="1:15" x14ac:dyDescent="0.3">
      <c r="A31" t="s">
        <v>83</v>
      </c>
      <c r="B31" s="1">
        <v>45791</v>
      </c>
      <c r="C31" t="s">
        <v>48</v>
      </c>
      <c r="D31" t="s">
        <v>26</v>
      </c>
      <c r="E31" t="s">
        <v>27</v>
      </c>
      <c r="F31" t="s">
        <v>35</v>
      </c>
      <c r="G31" t="s">
        <v>49</v>
      </c>
      <c r="H31">
        <v>10</v>
      </c>
      <c r="I31">
        <v>231.47</v>
      </c>
      <c r="J31">
        <v>0.2</v>
      </c>
      <c r="K31" t="s">
        <v>30</v>
      </c>
      <c r="L31">
        <v>147.08000000000001</v>
      </c>
      <c r="M31">
        <f t="shared" si="0"/>
        <v>1851.76</v>
      </c>
      <c r="N31">
        <f t="shared" si="1"/>
        <v>1704.68</v>
      </c>
      <c r="O31" t="str">
        <f t="shared" si="2"/>
        <v>East</v>
      </c>
    </row>
    <row r="32" spans="1:15" x14ac:dyDescent="0.3">
      <c r="A32" t="s">
        <v>84</v>
      </c>
      <c r="B32" s="1">
        <v>45695</v>
      </c>
      <c r="C32" t="s">
        <v>85</v>
      </c>
      <c r="D32" t="s">
        <v>26</v>
      </c>
      <c r="E32" t="s">
        <v>27</v>
      </c>
      <c r="F32" t="s">
        <v>28</v>
      </c>
      <c r="G32" t="s">
        <v>17</v>
      </c>
      <c r="H32">
        <v>5</v>
      </c>
      <c r="I32">
        <v>126.18</v>
      </c>
      <c r="J32">
        <v>0.15</v>
      </c>
      <c r="K32" t="s">
        <v>23</v>
      </c>
      <c r="L32">
        <v>80.17</v>
      </c>
      <c r="M32">
        <f t="shared" si="0"/>
        <v>536.2650000000001</v>
      </c>
      <c r="N32">
        <f t="shared" si="1"/>
        <v>456.09500000000008</v>
      </c>
      <c r="O32" t="str">
        <f t="shared" si="2"/>
        <v>West</v>
      </c>
    </row>
    <row r="33" spans="1:15" x14ac:dyDescent="0.3">
      <c r="A33" t="s">
        <v>86</v>
      </c>
      <c r="B33" s="1">
        <v>45836</v>
      </c>
      <c r="C33" t="s">
        <v>37</v>
      </c>
      <c r="D33" t="s">
        <v>14</v>
      </c>
      <c r="E33" t="s">
        <v>15</v>
      </c>
      <c r="F33" t="s">
        <v>21</v>
      </c>
      <c r="G33" t="s">
        <v>29</v>
      </c>
      <c r="H33">
        <v>4</v>
      </c>
      <c r="I33">
        <v>329.3</v>
      </c>
      <c r="J33">
        <v>0.2</v>
      </c>
      <c r="K33" t="s">
        <v>30</v>
      </c>
      <c r="L33">
        <v>204.69</v>
      </c>
      <c r="M33">
        <f t="shared" si="0"/>
        <v>1053.76</v>
      </c>
      <c r="N33">
        <f t="shared" si="1"/>
        <v>849.06999999999994</v>
      </c>
      <c r="O33" t="str">
        <f t="shared" si="2"/>
        <v>South</v>
      </c>
    </row>
    <row r="34" spans="1:15" x14ac:dyDescent="0.3">
      <c r="A34" t="s">
        <v>87</v>
      </c>
      <c r="B34" s="1">
        <v>45992</v>
      </c>
      <c r="C34" t="s">
        <v>52</v>
      </c>
      <c r="D34" t="s">
        <v>33</v>
      </c>
      <c r="E34" t="s">
        <v>34</v>
      </c>
      <c r="F34" t="s">
        <v>16</v>
      </c>
      <c r="G34" t="s">
        <v>22</v>
      </c>
      <c r="H34">
        <v>9</v>
      </c>
      <c r="I34">
        <v>101.35</v>
      </c>
      <c r="J34">
        <v>0.1</v>
      </c>
      <c r="K34" t="s">
        <v>23</v>
      </c>
      <c r="L34">
        <v>72.48</v>
      </c>
      <c r="M34">
        <f t="shared" si="0"/>
        <v>820.93499999999995</v>
      </c>
      <c r="N34">
        <f t="shared" si="1"/>
        <v>748.45499999999993</v>
      </c>
      <c r="O34" t="str">
        <f t="shared" si="2"/>
        <v>North</v>
      </c>
    </row>
    <row r="35" spans="1:15" x14ac:dyDescent="0.3">
      <c r="A35" t="s">
        <v>88</v>
      </c>
      <c r="B35" s="1">
        <v>45712</v>
      </c>
      <c r="C35" t="s">
        <v>13</v>
      </c>
      <c r="D35" t="s">
        <v>43</v>
      </c>
      <c r="E35" t="s">
        <v>15</v>
      </c>
      <c r="F35" t="s">
        <v>21</v>
      </c>
      <c r="G35" t="s">
        <v>29</v>
      </c>
      <c r="H35">
        <v>2</v>
      </c>
      <c r="I35">
        <v>382.94</v>
      </c>
      <c r="J35">
        <v>0.05</v>
      </c>
      <c r="K35" t="s">
        <v>30</v>
      </c>
      <c r="L35">
        <v>237.96</v>
      </c>
      <c r="M35">
        <f t="shared" si="0"/>
        <v>727.58600000000001</v>
      </c>
      <c r="N35">
        <f t="shared" si="1"/>
        <v>489.62599999999998</v>
      </c>
      <c r="O35" t="str">
        <f t="shared" si="2"/>
        <v>South</v>
      </c>
    </row>
    <row r="36" spans="1:15" x14ac:dyDescent="0.3">
      <c r="A36" t="s">
        <v>89</v>
      </c>
      <c r="B36" s="1">
        <v>45793</v>
      </c>
      <c r="C36" t="s">
        <v>52</v>
      </c>
      <c r="D36" t="s">
        <v>64</v>
      </c>
      <c r="E36" t="s">
        <v>34</v>
      </c>
      <c r="F36" t="s">
        <v>28</v>
      </c>
      <c r="G36" t="s">
        <v>29</v>
      </c>
      <c r="H36">
        <v>6</v>
      </c>
      <c r="I36">
        <v>59.22</v>
      </c>
      <c r="J36">
        <v>0.05</v>
      </c>
      <c r="K36" t="s">
        <v>53</v>
      </c>
      <c r="L36">
        <v>43.56</v>
      </c>
      <c r="M36">
        <f t="shared" si="0"/>
        <v>337.55399999999997</v>
      </c>
      <c r="N36">
        <f t="shared" si="1"/>
        <v>293.99399999999997</v>
      </c>
      <c r="O36" t="str">
        <f t="shared" si="2"/>
        <v>West</v>
      </c>
    </row>
    <row r="37" spans="1:15" x14ac:dyDescent="0.3">
      <c r="A37" t="s">
        <v>90</v>
      </c>
      <c r="B37" s="1">
        <v>45724</v>
      </c>
      <c r="C37" t="s">
        <v>42</v>
      </c>
      <c r="D37" t="s">
        <v>14</v>
      </c>
      <c r="E37" t="s">
        <v>15</v>
      </c>
      <c r="F37" t="s">
        <v>21</v>
      </c>
      <c r="G37" t="s">
        <v>22</v>
      </c>
      <c r="H37">
        <v>5</v>
      </c>
      <c r="I37">
        <v>553.71</v>
      </c>
      <c r="J37">
        <v>0</v>
      </c>
      <c r="K37" t="s">
        <v>18</v>
      </c>
      <c r="L37">
        <v>305.07</v>
      </c>
      <c r="M37">
        <f t="shared" si="0"/>
        <v>2768.55</v>
      </c>
      <c r="N37">
        <f t="shared" si="1"/>
        <v>2463.48</v>
      </c>
      <c r="O37" t="str">
        <f t="shared" si="2"/>
        <v>South</v>
      </c>
    </row>
    <row r="38" spans="1:15" x14ac:dyDescent="0.3">
      <c r="A38" t="s">
        <v>91</v>
      </c>
      <c r="B38" s="1">
        <v>46011</v>
      </c>
      <c r="C38" t="s">
        <v>92</v>
      </c>
      <c r="D38" t="s">
        <v>46</v>
      </c>
      <c r="E38" t="s">
        <v>15</v>
      </c>
      <c r="F38" t="s">
        <v>16</v>
      </c>
      <c r="G38" t="s">
        <v>29</v>
      </c>
      <c r="H38">
        <v>9</v>
      </c>
      <c r="I38">
        <v>411.7</v>
      </c>
      <c r="J38">
        <v>0</v>
      </c>
      <c r="K38" t="s">
        <v>23</v>
      </c>
      <c r="L38">
        <v>238.87</v>
      </c>
      <c r="M38">
        <f t="shared" si="0"/>
        <v>3705.2999999999997</v>
      </c>
      <c r="N38">
        <f t="shared" si="1"/>
        <v>3466.43</v>
      </c>
      <c r="O38" t="str">
        <f t="shared" si="2"/>
        <v>North</v>
      </c>
    </row>
    <row r="39" spans="1:15" x14ac:dyDescent="0.3">
      <c r="A39" t="s">
        <v>93</v>
      </c>
      <c r="B39" s="1">
        <v>45678</v>
      </c>
      <c r="C39" t="s">
        <v>32</v>
      </c>
      <c r="D39" t="s">
        <v>46</v>
      </c>
      <c r="E39" t="s">
        <v>15</v>
      </c>
      <c r="F39" t="s">
        <v>21</v>
      </c>
      <c r="G39" t="s">
        <v>22</v>
      </c>
      <c r="H39">
        <v>3</v>
      </c>
      <c r="I39">
        <v>244.43</v>
      </c>
      <c r="J39">
        <v>0</v>
      </c>
      <c r="K39" t="s">
        <v>44</v>
      </c>
      <c r="L39">
        <v>154.78</v>
      </c>
      <c r="M39">
        <f t="shared" si="0"/>
        <v>733.29</v>
      </c>
      <c r="N39">
        <f t="shared" si="1"/>
        <v>578.51</v>
      </c>
      <c r="O39" t="str">
        <f t="shared" si="2"/>
        <v>South</v>
      </c>
    </row>
    <row r="40" spans="1:15" x14ac:dyDescent="0.3">
      <c r="A40" t="s">
        <v>94</v>
      </c>
      <c r="B40" s="1">
        <v>45737</v>
      </c>
      <c r="C40" t="s">
        <v>69</v>
      </c>
      <c r="D40" t="s">
        <v>14</v>
      </c>
      <c r="E40" t="s">
        <v>15</v>
      </c>
      <c r="F40" t="s">
        <v>21</v>
      </c>
      <c r="G40" t="s">
        <v>49</v>
      </c>
      <c r="H40">
        <v>9</v>
      </c>
      <c r="I40">
        <v>441.47</v>
      </c>
      <c r="J40">
        <v>0.15</v>
      </c>
      <c r="K40" t="s">
        <v>18</v>
      </c>
      <c r="L40">
        <v>358.89</v>
      </c>
      <c r="M40">
        <f t="shared" si="0"/>
        <v>3377.2455000000004</v>
      </c>
      <c r="N40">
        <f t="shared" si="1"/>
        <v>3018.3555000000006</v>
      </c>
      <c r="O40" t="str">
        <f t="shared" si="2"/>
        <v>South</v>
      </c>
    </row>
    <row r="41" spans="1:15" x14ac:dyDescent="0.3">
      <c r="A41" t="s">
        <v>95</v>
      </c>
      <c r="B41" s="1">
        <v>45785</v>
      </c>
      <c r="C41" t="s">
        <v>42</v>
      </c>
      <c r="D41" t="s">
        <v>20</v>
      </c>
      <c r="E41" t="s">
        <v>15</v>
      </c>
      <c r="F41" t="s">
        <v>21</v>
      </c>
      <c r="G41" t="s">
        <v>22</v>
      </c>
      <c r="H41">
        <v>6</v>
      </c>
      <c r="I41">
        <v>694.84</v>
      </c>
      <c r="J41">
        <v>0.15</v>
      </c>
      <c r="K41" t="s">
        <v>53</v>
      </c>
      <c r="L41">
        <v>532.66999999999996</v>
      </c>
      <c r="M41">
        <f t="shared" si="0"/>
        <v>3543.6839999999997</v>
      </c>
      <c r="N41">
        <f t="shared" si="1"/>
        <v>3011.0139999999997</v>
      </c>
      <c r="O41" t="str">
        <f t="shared" si="2"/>
        <v>South</v>
      </c>
    </row>
    <row r="42" spans="1:15" x14ac:dyDescent="0.3">
      <c r="A42" t="s">
        <v>96</v>
      </c>
      <c r="B42" s="1">
        <v>45893</v>
      </c>
      <c r="C42" t="s">
        <v>32</v>
      </c>
      <c r="D42" t="s">
        <v>26</v>
      </c>
      <c r="E42" t="s">
        <v>27</v>
      </c>
      <c r="F42" t="s">
        <v>35</v>
      </c>
      <c r="G42" t="s">
        <v>49</v>
      </c>
      <c r="H42">
        <v>8</v>
      </c>
      <c r="I42">
        <v>274.43</v>
      </c>
      <c r="J42">
        <v>0.05</v>
      </c>
      <c r="K42" t="s">
        <v>44</v>
      </c>
      <c r="L42">
        <v>165.72</v>
      </c>
      <c r="M42">
        <f t="shared" si="0"/>
        <v>2085.6680000000001</v>
      </c>
      <c r="N42">
        <f t="shared" si="1"/>
        <v>1919.9480000000001</v>
      </c>
      <c r="O42" t="str">
        <f t="shared" si="2"/>
        <v>East</v>
      </c>
    </row>
    <row r="43" spans="1:15" x14ac:dyDescent="0.3">
      <c r="A43" t="s">
        <v>97</v>
      </c>
      <c r="B43" s="1">
        <v>45693</v>
      </c>
      <c r="C43" t="s">
        <v>42</v>
      </c>
      <c r="D43" t="s">
        <v>20</v>
      </c>
      <c r="E43" t="s">
        <v>15</v>
      </c>
      <c r="F43" t="s">
        <v>35</v>
      </c>
      <c r="G43" t="s">
        <v>22</v>
      </c>
      <c r="H43">
        <v>7</v>
      </c>
      <c r="I43">
        <v>815.01</v>
      </c>
      <c r="J43">
        <v>0.1</v>
      </c>
      <c r="K43" t="s">
        <v>23</v>
      </c>
      <c r="L43">
        <v>509.56</v>
      </c>
      <c r="M43">
        <f t="shared" si="0"/>
        <v>5134.5630000000001</v>
      </c>
      <c r="N43">
        <f t="shared" si="1"/>
        <v>4625.0029999999997</v>
      </c>
      <c r="O43" t="str">
        <f t="shared" si="2"/>
        <v>East</v>
      </c>
    </row>
    <row r="44" spans="1:15" x14ac:dyDescent="0.3">
      <c r="A44" t="s">
        <v>98</v>
      </c>
      <c r="B44" s="1">
        <v>45717</v>
      </c>
      <c r="C44" t="s">
        <v>42</v>
      </c>
      <c r="D44" t="s">
        <v>26</v>
      </c>
      <c r="E44" t="s">
        <v>27</v>
      </c>
      <c r="F44" t="s">
        <v>21</v>
      </c>
      <c r="G44" t="s">
        <v>17</v>
      </c>
      <c r="H44">
        <v>9</v>
      </c>
      <c r="I44">
        <v>235.9</v>
      </c>
      <c r="J44">
        <v>0.1</v>
      </c>
      <c r="K44" t="s">
        <v>30</v>
      </c>
      <c r="L44">
        <v>189.57</v>
      </c>
      <c r="M44">
        <f t="shared" si="0"/>
        <v>1910.79</v>
      </c>
      <c r="N44">
        <f t="shared" si="1"/>
        <v>1721.22</v>
      </c>
      <c r="O44" t="str">
        <f t="shared" si="2"/>
        <v>South</v>
      </c>
    </row>
    <row r="45" spans="1:15" x14ac:dyDescent="0.3">
      <c r="A45" t="s">
        <v>99</v>
      </c>
      <c r="B45" s="1">
        <v>45818</v>
      </c>
      <c r="C45" t="s">
        <v>100</v>
      </c>
      <c r="D45" t="s">
        <v>20</v>
      </c>
      <c r="E45" t="s">
        <v>15</v>
      </c>
      <c r="F45" t="s">
        <v>16</v>
      </c>
      <c r="G45" t="s">
        <v>65</v>
      </c>
      <c r="H45">
        <v>7</v>
      </c>
      <c r="I45">
        <v>677.1</v>
      </c>
      <c r="J45">
        <v>0.1</v>
      </c>
      <c r="K45" t="s">
        <v>23</v>
      </c>
      <c r="L45">
        <v>505.6</v>
      </c>
      <c r="M45">
        <f t="shared" si="0"/>
        <v>4265.7299999999996</v>
      </c>
      <c r="N45">
        <f t="shared" si="1"/>
        <v>3760.1299999999997</v>
      </c>
      <c r="O45" t="str">
        <f t="shared" si="2"/>
        <v>North</v>
      </c>
    </row>
    <row r="46" spans="1:15" x14ac:dyDescent="0.3">
      <c r="A46" t="s">
        <v>101</v>
      </c>
      <c r="B46" s="1">
        <v>45933</v>
      </c>
      <c r="C46" t="s">
        <v>48</v>
      </c>
      <c r="D46" t="s">
        <v>70</v>
      </c>
      <c r="E46" t="s">
        <v>34</v>
      </c>
      <c r="F46" t="s">
        <v>35</v>
      </c>
      <c r="G46" t="s">
        <v>65</v>
      </c>
      <c r="H46">
        <v>7</v>
      </c>
      <c r="I46">
        <v>44.1</v>
      </c>
      <c r="J46">
        <v>0</v>
      </c>
      <c r="K46" t="s">
        <v>53</v>
      </c>
      <c r="L46">
        <v>30.45</v>
      </c>
      <c r="M46">
        <f t="shared" si="0"/>
        <v>308.7</v>
      </c>
      <c r="N46">
        <f t="shared" si="1"/>
        <v>278.25</v>
      </c>
      <c r="O46" t="str">
        <f t="shared" si="2"/>
        <v>East</v>
      </c>
    </row>
    <row r="47" spans="1:15" x14ac:dyDescent="0.3">
      <c r="A47" t="s">
        <v>102</v>
      </c>
      <c r="B47" s="1">
        <v>45999</v>
      </c>
      <c r="C47" t="s">
        <v>100</v>
      </c>
      <c r="D47" t="s">
        <v>39</v>
      </c>
      <c r="E47" t="s">
        <v>27</v>
      </c>
      <c r="F47" t="s">
        <v>35</v>
      </c>
      <c r="G47" t="s">
        <v>65</v>
      </c>
      <c r="H47">
        <v>2</v>
      </c>
      <c r="I47">
        <v>263.33</v>
      </c>
      <c r="J47">
        <v>0.1</v>
      </c>
      <c r="K47" t="s">
        <v>30</v>
      </c>
      <c r="L47">
        <v>180.89</v>
      </c>
      <c r="M47">
        <f t="shared" si="0"/>
        <v>473.99399999999997</v>
      </c>
      <c r="N47">
        <f t="shared" si="1"/>
        <v>293.10399999999998</v>
      </c>
      <c r="O47" t="str">
        <f t="shared" si="2"/>
        <v>East</v>
      </c>
    </row>
    <row r="48" spans="1:15" x14ac:dyDescent="0.3">
      <c r="A48" t="s">
        <v>103</v>
      </c>
      <c r="B48" s="1">
        <v>45747</v>
      </c>
      <c r="C48" t="s">
        <v>104</v>
      </c>
      <c r="D48" t="s">
        <v>46</v>
      </c>
      <c r="E48" t="s">
        <v>15</v>
      </c>
      <c r="F48" t="s">
        <v>35</v>
      </c>
      <c r="G48" t="s">
        <v>65</v>
      </c>
      <c r="H48">
        <v>7</v>
      </c>
      <c r="I48">
        <v>238.19</v>
      </c>
      <c r="J48">
        <v>0.15</v>
      </c>
      <c r="K48" t="s">
        <v>23</v>
      </c>
      <c r="L48">
        <v>174.56</v>
      </c>
      <c r="M48">
        <f t="shared" si="0"/>
        <v>1417.2304999999999</v>
      </c>
      <c r="N48">
        <f t="shared" si="1"/>
        <v>1242.6704999999999</v>
      </c>
      <c r="O48" t="str">
        <f t="shared" si="2"/>
        <v>East</v>
      </c>
    </row>
    <row r="49" spans="1:15" x14ac:dyDescent="0.3">
      <c r="A49" t="s">
        <v>105</v>
      </c>
      <c r="B49" s="1">
        <v>45968</v>
      </c>
      <c r="C49" t="s">
        <v>67</v>
      </c>
      <c r="D49" t="s">
        <v>20</v>
      </c>
      <c r="E49" t="s">
        <v>15</v>
      </c>
      <c r="F49" t="s">
        <v>28</v>
      </c>
      <c r="G49" t="s">
        <v>65</v>
      </c>
      <c r="H49">
        <v>4</v>
      </c>
      <c r="I49">
        <v>725.97</v>
      </c>
      <c r="J49">
        <v>0.15</v>
      </c>
      <c r="K49" t="s">
        <v>18</v>
      </c>
      <c r="L49">
        <v>553.29999999999995</v>
      </c>
      <c r="M49">
        <f t="shared" si="0"/>
        <v>2468.2980000000002</v>
      </c>
      <c r="N49">
        <f t="shared" si="1"/>
        <v>1914.9980000000003</v>
      </c>
      <c r="O49" t="str">
        <f t="shared" si="2"/>
        <v>West</v>
      </c>
    </row>
    <row r="50" spans="1:15" x14ac:dyDescent="0.3">
      <c r="A50" t="s">
        <v>106</v>
      </c>
      <c r="B50" s="1">
        <v>45997</v>
      </c>
      <c r="C50" t="s">
        <v>104</v>
      </c>
      <c r="D50" t="s">
        <v>70</v>
      </c>
      <c r="E50" t="s">
        <v>34</v>
      </c>
      <c r="F50" t="s">
        <v>35</v>
      </c>
      <c r="G50" t="s">
        <v>40</v>
      </c>
      <c r="H50">
        <v>3</v>
      </c>
      <c r="I50">
        <v>63.34</v>
      </c>
      <c r="J50">
        <v>0</v>
      </c>
      <c r="K50" t="s">
        <v>44</v>
      </c>
      <c r="L50">
        <v>39.69</v>
      </c>
      <c r="M50">
        <f t="shared" si="0"/>
        <v>190.02</v>
      </c>
      <c r="N50">
        <f t="shared" si="1"/>
        <v>150.33000000000001</v>
      </c>
      <c r="O50" t="str">
        <f t="shared" si="2"/>
        <v>East</v>
      </c>
    </row>
    <row r="51" spans="1:15" x14ac:dyDescent="0.3">
      <c r="A51" t="s">
        <v>107</v>
      </c>
      <c r="B51" s="1">
        <v>45783</v>
      </c>
      <c r="C51" t="s">
        <v>108</v>
      </c>
      <c r="D51" t="s">
        <v>43</v>
      </c>
      <c r="E51" t="s">
        <v>15</v>
      </c>
      <c r="F51" t="s">
        <v>16</v>
      </c>
      <c r="G51" t="s">
        <v>65</v>
      </c>
      <c r="H51">
        <v>4</v>
      </c>
      <c r="I51">
        <v>206.16</v>
      </c>
      <c r="J51">
        <v>0.05</v>
      </c>
      <c r="K51" t="s">
        <v>18</v>
      </c>
      <c r="L51">
        <v>114.75</v>
      </c>
      <c r="M51">
        <f t="shared" si="0"/>
        <v>783.4079999999999</v>
      </c>
      <c r="N51">
        <f t="shared" si="1"/>
        <v>668.6579999999999</v>
      </c>
      <c r="O51" t="str">
        <f t="shared" si="2"/>
        <v>North</v>
      </c>
    </row>
    <row r="52" spans="1:15" x14ac:dyDescent="0.3">
      <c r="A52" t="s">
        <v>109</v>
      </c>
      <c r="B52" s="1">
        <v>45733</v>
      </c>
      <c r="C52" t="s">
        <v>85</v>
      </c>
      <c r="D52" t="s">
        <v>64</v>
      </c>
      <c r="E52" t="s">
        <v>34</v>
      </c>
      <c r="F52" t="s">
        <v>16</v>
      </c>
      <c r="G52" t="s">
        <v>65</v>
      </c>
      <c r="H52">
        <v>7</v>
      </c>
      <c r="I52">
        <v>57.36</v>
      </c>
      <c r="J52">
        <v>0.15</v>
      </c>
      <c r="K52" t="s">
        <v>44</v>
      </c>
      <c r="L52">
        <v>37.74</v>
      </c>
      <c r="M52">
        <f t="shared" si="0"/>
        <v>341.29199999999997</v>
      </c>
      <c r="N52">
        <f t="shared" si="1"/>
        <v>303.55199999999996</v>
      </c>
      <c r="O52" t="str">
        <f t="shared" si="2"/>
        <v>North</v>
      </c>
    </row>
    <row r="53" spans="1:15" x14ac:dyDescent="0.3">
      <c r="A53" t="s">
        <v>110</v>
      </c>
      <c r="B53" s="1">
        <v>45785</v>
      </c>
      <c r="C53" t="s">
        <v>76</v>
      </c>
      <c r="D53" t="s">
        <v>33</v>
      </c>
      <c r="E53" t="s">
        <v>34</v>
      </c>
      <c r="F53" t="s">
        <v>28</v>
      </c>
      <c r="G53" t="s">
        <v>49</v>
      </c>
      <c r="H53">
        <v>9</v>
      </c>
      <c r="I53">
        <v>152.58000000000001</v>
      </c>
      <c r="J53">
        <v>0.15</v>
      </c>
      <c r="K53" t="s">
        <v>18</v>
      </c>
      <c r="L53">
        <v>85.99</v>
      </c>
      <c r="M53">
        <f t="shared" si="0"/>
        <v>1167.2370000000001</v>
      </c>
      <c r="N53">
        <f t="shared" si="1"/>
        <v>1081.2470000000001</v>
      </c>
      <c r="O53" t="str">
        <f t="shared" si="2"/>
        <v>West</v>
      </c>
    </row>
    <row r="54" spans="1:15" x14ac:dyDescent="0.3">
      <c r="A54" t="s">
        <v>111</v>
      </c>
      <c r="B54" s="1">
        <v>45884</v>
      </c>
      <c r="C54" t="s">
        <v>104</v>
      </c>
      <c r="D54" t="s">
        <v>46</v>
      </c>
      <c r="E54" t="s">
        <v>15</v>
      </c>
      <c r="F54" t="s">
        <v>28</v>
      </c>
      <c r="G54" t="s">
        <v>17</v>
      </c>
      <c r="H54">
        <v>10</v>
      </c>
      <c r="I54">
        <v>496.37</v>
      </c>
      <c r="J54">
        <v>0.1</v>
      </c>
      <c r="K54" t="s">
        <v>18</v>
      </c>
      <c r="L54">
        <v>400.33</v>
      </c>
      <c r="M54">
        <f t="shared" si="0"/>
        <v>4467.33</v>
      </c>
      <c r="N54">
        <f t="shared" si="1"/>
        <v>4067</v>
      </c>
      <c r="O54" t="str">
        <f t="shared" si="2"/>
        <v>West</v>
      </c>
    </row>
    <row r="55" spans="1:15" x14ac:dyDescent="0.3">
      <c r="A55" t="s">
        <v>112</v>
      </c>
      <c r="B55" s="1">
        <v>45784</v>
      </c>
      <c r="C55" t="s">
        <v>42</v>
      </c>
      <c r="D55" t="s">
        <v>33</v>
      </c>
      <c r="E55" t="s">
        <v>34</v>
      </c>
      <c r="F55" t="s">
        <v>28</v>
      </c>
      <c r="G55" t="s">
        <v>22</v>
      </c>
      <c r="H55">
        <v>8</v>
      </c>
      <c r="I55">
        <v>144.11000000000001</v>
      </c>
      <c r="J55">
        <v>0.15</v>
      </c>
      <c r="K55" t="s">
        <v>44</v>
      </c>
      <c r="L55">
        <v>89.35</v>
      </c>
      <c r="M55">
        <f t="shared" si="0"/>
        <v>979.94800000000009</v>
      </c>
      <c r="N55">
        <f t="shared" si="1"/>
        <v>890.59800000000007</v>
      </c>
      <c r="O55" t="str">
        <f t="shared" si="2"/>
        <v>West</v>
      </c>
    </row>
    <row r="56" spans="1:15" x14ac:dyDescent="0.3">
      <c r="A56" t="s">
        <v>113</v>
      </c>
      <c r="B56" s="1">
        <v>45821</v>
      </c>
      <c r="C56" t="s">
        <v>13</v>
      </c>
      <c r="D56" t="s">
        <v>43</v>
      </c>
      <c r="E56" t="s">
        <v>15</v>
      </c>
      <c r="F56" t="s">
        <v>16</v>
      </c>
      <c r="G56" t="s">
        <v>49</v>
      </c>
      <c r="H56">
        <v>5</v>
      </c>
      <c r="I56">
        <v>259.97000000000003</v>
      </c>
      <c r="J56">
        <v>0.05</v>
      </c>
      <c r="K56" t="s">
        <v>44</v>
      </c>
      <c r="L56">
        <v>162.06</v>
      </c>
      <c r="M56">
        <f t="shared" si="0"/>
        <v>1234.8575000000001</v>
      </c>
      <c r="N56">
        <f t="shared" si="1"/>
        <v>1072.7975000000001</v>
      </c>
      <c r="O56" t="str">
        <f t="shared" si="2"/>
        <v>North</v>
      </c>
    </row>
    <row r="57" spans="1:15" x14ac:dyDescent="0.3">
      <c r="A57" t="s">
        <v>114</v>
      </c>
      <c r="B57" s="1">
        <v>45866</v>
      </c>
      <c r="C57" t="s">
        <v>67</v>
      </c>
      <c r="D57" t="s">
        <v>70</v>
      </c>
      <c r="E57" t="s">
        <v>34</v>
      </c>
      <c r="F57" t="s">
        <v>28</v>
      </c>
      <c r="G57" t="s">
        <v>65</v>
      </c>
      <c r="H57">
        <v>3</v>
      </c>
      <c r="I57">
        <v>53.73</v>
      </c>
      <c r="J57">
        <v>0.05</v>
      </c>
      <c r="K57" t="s">
        <v>53</v>
      </c>
      <c r="L57">
        <v>30.48</v>
      </c>
      <c r="M57">
        <f t="shared" si="0"/>
        <v>153.13049999999998</v>
      </c>
      <c r="N57">
        <f t="shared" si="1"/>
        <v>122.65049999999998</v>
      </c>
      <c r="O57" t="str">
        <f t="shared" si="2"/>
        <v>West</v>
      </c>
    </row>
    <row r="58" spans="1:15" x14ac:dyDescent="0.3">
      <c r="A58" t="s">
        <v>115</v>
      </c>
      <c r="B58" s="1">
        <v>45668</v>
      </c>
      <c r="C58" t="s">
        <v>60</v>
      </c>
      <c r="D58" t="s">
        <v>70</v>
      </c>
      <c r="E58" t="s">
        <v>34</v>
      </c>
      <c r="F58" t="s">
        <v>28</v>
      </c>
      <c r="G58" t="s">
        <v>65</v>
      </c>
      <c r="H58">
        <v>7</v>
      </c>
      <c r="I58">
        <v>87.47</v>
      </c>
      <c r="J58">
        <v>0.2</v>
      </c>
      <c r="K58" t="s">
        <v>53</v>
      </c>
      <c r="L58">
        <v>70.45</v>
      </c>
      <c r="M58">
        <f t="shared" si="0"/>
        <v>489.83199999999999</v>
      </c>
      <c r="N58">
        <f t="shared" si="1"/>
        <v>419.38200000000001</v>
      </c>
      <c r="O58" t="str">
        <f t="shared" si="2"/>
        <v>West</v>
      </c>
    </row>
    <row r="59" spans="1:15" x14ac:dyDescent="0.3">
      <c r="A59" t="s">
        <v>116</v>
      </c>
      <c r="B59" s="1">
        <v>45937</v>
      </c>
      <c r="C59" t="s">
        <v>104</v>
      </c>
      <c r="D59" t="s">
        <v>39</v>
      </c>
      <c r="E59" t="s">
        <v>27</v>
      </c>
      <c r="F59" t="s">
        <v>21</v>
      </c>
      <c r="G59" t="s">
        <v>65</v>
      </c>
      <c r="H59">
        <v>7</v>
      </c>
      <c r="I59">
        <v>188.68</v>
      </c>
      <c r="J59">
        <v>0.15</v>
      </c>
      <c r="K59" t="s">
        <v>44</v>
      </c>
      <c r="L59">
        <v>131.19</v>
      </c>
      <c r="M59">
        <f t="shared" si="0"/>
        <v>1122.646</v>
      </c>
      <c r="N59">
        <f t="shared" si="1"/>
        <v>991.4559999999999</v>
      </c>
      <c r="O59" t="str">
        <f t="shared" si="2"/>
        <v>South</v>
      </c>
    </row>
    <row r="60" spans="1:15" x14ac:dyDescent="0.3">
      <c r="A60" t="s">
        <v>117</v>
      </c>
      <c r="B60" s="1">
        <v>46005</v>
      </c>
      <c r="C60" t="s">
        <v>55</v>
      </c>
      <c r="D60" t="s">
        <v>43</v>
      </c>
      <c r="E60" t="s">
        <v>15</v>
      </c>
      <c r="F60" t="s">
        <v>21</v>
      </c>
      <c r="G60" t="s">
        <v>65</v>
      </c>
      <c r="H60">
        <v>1</v>
      </c>
      <c r="I60">
        <v>258.95999999999998</v>
      </c>
      <c r="J60">
        <v>0.15</v>
      </c>
      <c r="K60" t="s">
        <v>44</v>
      </c>
      <c r="L60">
        <v>165.93</v>
      </c>
      <c r="M60">
        <f t="shared" si="0"/>
        <v>220.11599999999999</v>
      </c>
      <c r="N60">
        <f t="shared" si="1"/>
        <v>54.185999999999979</v>
      </c>
      <c r="O60" t="str">
        <f t="shared" si="2"/>
        <v>South</v>
      </c>
    </row>
    <row r="61" spans="1:15" x14ac:dyDescent="0.3">
      <c r="A61" t="s">
        <v>118</v>
      </c>
      <c r="B61" s="1">
        <v>45671</v>
      </c>
      <c r="C61" t="s">
        <v>37</v>
      </c>
      <c r="D61" t="s">
        <v>64</v>
      </c>
      <c r="E61" t="s">
        <v>34</v>
      </c>
      <c r="F61" t="s">
        <v>28</v>
      </c>
      <c r="G61" t="s">
        <v>49</v>
      </c>
      <c r="H61">
        <v>7</v>
      </c>
      <c r="I61">
        <v>96.42</v>
      </c>
      <c r="J61">
        <v>0.2</v>
      </c>
      <c r="K61" t="s">
        <v>18</v>
      </c>
      <c r="L61">
        <v>67.72</v>
      </c>
      <c r="M61">
        <f t="shared" si="0"/>
        <v>539.95200000000011</v>
      </c>
      <c r="N61">
        <f t="shared" si="1"/>
        <v>472.23200000000008</v>
      </c>
      <c r="O61" t="str">
        <f t="shared" si="2"/>
        <v>West</v>
      </c>
    </row>
    <row r="62" spans="1:15" x14ac:dyDescent="0.3">
      <c r="A62" t="s">
        <v>119</v>
      </c>
      <c r="B62" s="1">
        <v>45825</v>
      </c>
      <c r="C62" t="s">
        <v>67</v>
      </c>
      <c r="D62" t="s">
        <v>33</v>
      </c>
      <c r="E62" t="s">
        <v>34</v>
      </c>
      <c r="F62" t="s">
        <v>28</v>
      </c>
      <c r="G62" t="s">
        <v>29</v>
      </c>
      <c r="H62">
        <v>7</v>
      </c>
      <c r="I62">
        <v>47.04</v>
      </c>
      <c r="J62">
        <v>0.1</v>
      </c>
      <c r="K62" t="s">
        <v>18</v>
      </c>
      <c r="L62">
        <v>28.56</v>
      </c>
      <c r="M62">
        <f t="shared" si="0"/>
        <v>296.35199999999998</v>
      </c>
      <c r="N62">
        <f t="shared" si="1"/>
        <v>267.79199999999997</v>
      </c>
      <c r="O62" t="str">
        <f t="shared" si="2"/>
        <v>West</v>
      </c>
    </row>
    <row r="63" spans="1:15" x14ac:dyDescent="0.3">
      <c r="A63" t="s">
        <v>120</v>
      </c>
      <c r="B63" s="1">
        <v>45684</v>
      </c>
      <c r="C63" t="s">
        <v>32</v>
      </c>
      <c r="D63" t="s">
        <v>43</v>
      </c>
      <c r="E63" t="s">
        <v>15</v>
      </c>
      <c r="F63" t="s">
        <v>21</v>
      </c>
      <c r="G63" t="s">
        <v>22</v>
      </c>
      <c r="H63">
        <v>8</v>
      </c>
      <c r="I63">
        <v>358.73</v>
      </c>
      <c r="J63">
        <v>0</v>
      </c>
      <c r="K63" t="s">
        <v>53</v>
      </c>
      <c r="L63">
        <v>269.85000000000002</v>
      </c>
      <c r="M63">
        <f t="shared" si="0"/>
        <v>2869.84</v>
      </c>
      <c r="N63">
        <f t="shared" si="1"/>
        <v>2599.9900000000002</v>
      </c>
      <c r="O63" t="str">
        <f t="shared" si="2"/>
        <v>South</v>
      </c>
    </row>
    <row r="64" spans="1:15" x14ac:dyDescent="0.3">
      <c r="A64" t="s">
        <v>121</v>
      </c>
      <c r="B64" s="1">
        <v>45976</v>
      </c>
      <c r="C64" t="s">
        <v>92</v>
      </c>
      <c r="D64" t="s">
        <v>20</v>
      </c>
      <c r="E64" t="s">
        <v>15</v>
      </c>
      <c r="F64" t="s">
        <v>21</v>
      </c>
      <c r="G64" t="s">
        <v>49</v>
      </c>
      <c r="H64">
        <v>4</v>
      </c>
      <c r="I64">
        <v>838.56</v>
      </c>
      <c r="J64">
        <v>0.05</v>
      </c>
      <c r="K64" t="s">
        <v>18</v>
      </c>
      <c r="L64">
        <v>651.22</v>
      </c>
      <c r="M64">
        <f t="shared" si="0"/>
        <v>3186.5279999999998</v>
      </c>
      <c r="N64">
        <f t="shared" si="1"/>
        <v>2535.308</v>
      </c>
      <c r="O64" t="str">
        <f t="shared" si="2"/>
        <v>South</v>
      </c>
    </row>
    <row r="65" spans="1:15" x14ac:dyDescent="0.3">
      <c r="A65" t="s">
        <v>122</v>
      </c>
      <c r="B65" s="1">
        <v>45846</v>
      </c>
      <c r="C65" t="s">
        <v>25</v>
      </c>
      <c r="D65" t="s">
        <v>14</v>
      </c>
      <c r="E65" t="s">
        <v>15</v>
      </c>
      <c r="F65" t="s">
        <v>16</v>
      </c>
      <c r="G65" t="s">
        <v>49</v>
      </c>
      <c r="H65">
        <v>4</v>
      </c>
      <c r="I65">
        <v>525.59</v>
      </c>
      <c r="J65">
        <v>0.15</v>
      </c>
      <c r="K65" t="s">
        <v>30</v>
      </c>
      <c r="L65">
        <v>388.34</v>
      </c>
      <c r="M65">
        <f t="shared" si="0"/>
        <v>1787.0060000000001</v>
      </c>
      <c r="N65">
        <f t="shared" si="1"/>
        <v>1398.6660000000002</v>
      </c>
      <c r="O65" t="str">
        <f t="shared" si="2"/>
        <v>North</v>
      </c>
    </row>
    <row r="66" spans="1:15" x14ac:dyDescent="0.3">
      <c r="A66" t="s">
        <v>123</v>
      </c>
      <c r="B66" s="1">
        <v>45850</v>
      </c>
      <c r="C66" t="s">
        <v>55</v>
      </c>
      <c r="D66" t="s">
        <v>14</v>
      </c>
      <c r="E66" t="s">
        <v>15</v>
      </c>
      <c r="F66" t="s">
        <v>21</v>
      </c>
      <c r="G66" t="s">
        <v>40</v>
      </c>
      <c r="H66">
        <v>5</v>
      </c>
      <c r="I66">
        <v>531.47</v>
      </c>
      <c r="J66">
        <v>0.2</v>
      </c>
      <c r="K66" t="s">
        <v>23</v>
      </c>
      <c r="L66">
        <v>389.51</v>
      </c>
      <c r="M66">
        <f t="shared" ref="M66:M129" si="3">H66*I66*(1-J66)</f>
        <v>2125.8800000000006</v>
      </c>
      <c r="N66">
        <f t="shared" ref="N66:N129" si="4">M66-L66</f>
        <v>1736.3700000000006</v>
      </c>
      <c r="O66" t="str">
        <f t="shared" ref="O66:O129" si="5">TRIM(CLEAN(SUBSTITUTE(F66,CHAR(160)," ")))</f>
        <v>South</v>
      </c>
    </row>
    <row r="67" spans="1:15" x14ac:dyDescent="0.3">
      <c r="A67" t="s">
        <v>124</v>
      </c>
      <c r="B67" s="1">
        <v>45947</v>
      </c>
      <c r="C67" t="s">
        <v>125</v>
      </c>
      <c r="D67" t="s">
        <v>70</v>
      </c>
      <c r="E67" t="s">
        <v>34</v>
      </c>
      <c r="F67" t="s">
        <v>35</v>
      </c>
      <c r="G67" t="s">
        <v>17</v>
      </c>
      <c r="H67">
        <v>5</v>
      </c>
      <c r="I67">
        <v>32.64</v>
      </c>
      <c r="J67">
        <v>0.2</v>
      </c>
      <c r="K67" t="s">
        <v>18</v>
      </c>
      <c r="L67">
        <v>25.05</v>
      </c>
      <c r="M67">
        <f t="shared" si="3"/>
        <v>130.56</v>
      </c>
      <c r="N67">
        <f t="shared" si="4"/>
        <v>105.51</v>
      </c>
      <c r="O67" t="str">
        <f t="shared" si="5"/>
        <v>East</v>
      </c>
    </row>
    <row r="68" spans="1:15" x14ac:dyDescent="0.3">
      <c r="A68" t="s">
        <v>126</v>
      </c>
      <c r="B68" s="1">
        <v>45908</v>
      </c>
      <c r="C68" t="s">
        <v>76</v>
      </c>
      <c r="D68" t="s">
        <v>39</v>
      </c>
      <c r="E68" t="s">
        <v>27</v>
      </c>
      <c r="F68" t="s">
        <v>28</v>
      </c>
      <c r="G68" t="s">
        <v>29</v>
      </c>
      <c r="H68">
        <v>6</v>
      </c>
      <c r="I68">
        <v>135.86000000000001</v>
      </c>
      <c r="J68">
        <v>0</v>
      </c>
      <c r="K68" t="s">
        <v>18</v>
      </c>
      <c r="L68">
        <v>105.89</v>
      </c>
      <c r="M68">
        <f t="shared" si="3"/>
        <v>815.16000000000008</v>
      </c>
      <c r="N68">
        <f t="shared" si="4"/>
        <v>709.2700000000001</v>
      </c>
      <c r="O68" t="str">
        <f t="shared" si="5"/>
        <v>West</v>
      </c>
    </row>
    <row r="69" spans="1:15" x14ac:dyDescent="0.3">
      <c r="A69" t="s">
        <v>127</v>
      </c>
      <c r="B69" s="1">
        <v>45933</v>
      </c>
      <c r="C69" t="s">
        <v>108</v>
      </c>
      <c r="D69" t="s">
        <v>33</v>
      </c>
      <c r="E69" t="s">
        <v>34</v>
      </c>
      <c r="F69" t="s">
        <v>28</v>
      </c>
      <c r="G69" t="s">
        <v>65</v>
      </c>
      <c r="H69">
        <v>9</v>
      </c>
      <c r="I69">
        <v>100.97</v>
      </c>
      <c r="J69">
        <v>0.1</v>
      </c>
      <c r="K69" t="s">
        <v>23</v>
      </c>
      <c r="L69">
        <v>72.319999999999993</v>
      </c>
      <c r="M69">
        <f t="shared" si="3"/>
        <v>817.85700000000008</v>
      </c>
      <c r="N69">
        <f t="shared" si="4"/>
        <v>745.53700000000003</v>
      </c>
      <c r="O69" t="str">
        <f t="shared" si="5"/>
        <v>West</v>
      </c>
    </row>
    <row r="70" spans="1:15" x14ac:dyDescent="0.3">
      <c r="A70" t="s">
        <v>128</v>
      </c>
      <c r="B70" s="1">
        <v>45888</v>
      </c>
      <c r="C70" t="s">
        <v>69</v>
      </c>
      <c r="D70" t="s">
        <v>43</v>
      </c>
      <c r="E70" t="s">
        <v>15</v>
      </c>
      <c r="F70" t="s">
        <v>28</v>
      </c>
      <c r="G70" t="s">
        <v>17</v>
      </c>
      <c r="H70">
        <v>4</v>
      </c>
      <c r="I70">
        <v>230.58</v>
      </c>
      <c r="J70">
        <v>0</v>
      </c>
      <c r="K70" t="s">
        <v>23</v>
      </c>
      <c r="L70">
        <v>144.18</v>
      </c>
      <c r="M70">
        <f t="shared" si="3"/>
        <v>922.32</v>
      </c>
      <c r="N70">
        <f t="shared" si="4"/>
        <v>778.1400000000001</v>
      </c>
      <c r="O70" t="str">
        <f t="shared" si="5"/>
        <v>West</v>
      </c>
    </row>
    <row r="71" spans="1:15" x14ac:dyDescent="0.3">
      <c r="A71" t="s">
        <v>129</v>
      </c>
      <c r="B71" s="1">
        <v>45766</v>
      </c>
      <c r="C71" t="s">
        <v>32</v>
      </c>
      <c r="D71" t="s">
        <v>26</v>
      </c>
      <c r="E71" t="s">
        <v>27</v>
      </c>
      <c r="F71" t="s">
        <v>35</v>
      </c>
      <c r="G71" t="s">
        <v>29</v>
      </c>
      <c r="H71">
        <v>8</v>
      </c>
      <c r="I71">
        <v>167.28</v>
      </c>
      <c r="J71">
        <v>0.1</v>
      </c>
      <c r="K71" t="s">
        <v>30</v>
      </c>
      <c r="L71">
        <v>100.22</v>
      </c>
      <c r="M71">
        <f t="shared" si="3"/>
        <v>1204.4159999999999</v>
      </c>
      <c r="N71">
        <f t="shared" si="4"/>
        <v>1104.1959999999999</v>
      </c>
      <c r="O71" t="str">
        <f t="shared" si="5"/>
        <v>East</v>
      </c>
    </row>
    <row r="72" spans="1:15" x14ac:dyDescent="0.3">
      <c r="A72" t="s">
        <v>130</v>
      </c>
      <c r="B72" s="1">
        <v>45755</v>
      </c>
      <c r="C72" t="s">
        <v>37</v>
      </c>
      <c r="D72" t="s">
        <v>64</v>
      </c>
      <c r="E72" t="s">
        <v>34</v>
      </c>
      <c r="F72" t="s">
        <v>21</v>
      </c>
      <c r="G72" t="s">
        <v>22</v>
      </c>
      <c r="H72">
        <v>5</v>
      </c>
      <c r="I72">
        <v>115.64</v>
      </c>
      <c r="J72">
        <v>0.2</v>
      </c>
      <c r="K72" t="s">
        <v>18</v>
      </c>
      <c r="L72">
        <v>63.92</v>
      </c>
      <c r="M72">
        <f t="shared" si="3"/>
        <v>462.56000000000006</v>
      </c>
      <c r="N72">
        <f t="shared" si="4"/>
        <v>398.64000000000004</v>
      </c>
      <c r="O72" t="str">
        <f t="shared" si="5"/>
        <v>South</v>
      </c>
    </row>
    <row r="73" spans="1:15" x14ac:dyDescent="0.3">
      <c r="A73" t="s">
        <v>131</v>
      </c>
      <c r="B73" s="1">
        <v>45909</v>
      </c>
      <c r="C73" t="s">
        <v>73</v>
      </c>
      <c r="D73" t="s">
        <v>61</v>
      </c>
      <c r="E73" t="s">
        <v>34</v>
      </c>
      <c r="F73" t="s">
        <v>16</v>
      </c>
      <c r="G73" t="s">
        <v>40</v>
      </c>
      <c r="H73">
        <v>4</v>
      </c>
      <c r="I73">
        <v>79.97</v>
      </c>
      <c r="J73">
        <v>0.15</v>
      </c>
      <c r="K73" t="s">
        <v>30</v>
      </c>
      <c r="L73">
        <v>57.93</v>
      </c>
      <c r="M73">
        <f t="shared" si="3"/>
        <v>271.89799999999997</v>
      </c>
      <c r="N73">
        <f t="shared" si="4"/>
        <v>213.96799999999996</v>
      </c>
      <c r="O73" t="str">
        <f t="shared" si="5"/>
        <v>North</v>
      </c>
    </row>
    <row r="74" spans="1:15" x14ac:dyDescent="0.3">
      <c r="A74" t="s">
        <v>132</v>
      </c>
      <c r="B74" s="1">
        <v>45846</v>
      </c>
      <c r="C74" t="s">
        <v>108</v>
      </c>
      <c r="D74" t="s">
        <v>70</v>
      </c>
      <c r="E74" t="s">
        <v>34</v>
      </c>
      <c r="F74" t="s">
        <v>35</v>
      </c>
      <c r="G74" t="s">
        <v>65</v>
      </c>
      <c r="H74">
        <v>4</v>
      </c>
      <c r="I74">
        <v>55.33</v>
      </c>
      <c r="J74">
        <v>0.1</v>
      </c>
      <c r="K74" t="s">
        <v>23</v>
      </c>
      <c r="L74">
        <v>40.35</v>
      </c>
      <c r="M74">
        <f t="shared" si="3"/>
        <v>199.18799999999999</v>
      </c>
      <c r="N74">
        <f t="shared" si="4"/>
        <v>158.83799999999999</v>
      </c>
      <c r="O74" t="str">
        <f t="shared" si="5"/>
        <v>East</v>
      </c>
    </row>
    <row r="75" spans="1:15" x14ac:dyDescent="0.3">
      <c r="A75" t="s">
        <v>133</v>
      </c>
      <c r="B75" s="1">
        <v>45776</v>
      </c>
      <c r="C75" t="s">
        <v>76</v>
      </c>
      <c r="D75" t="s">
        <v>39</v>
      </c>
      <c r="E75" t="s">
        <v>27</v>
      </c>
      <c r="F75" t="s">
        <v>21</v>
      </c>
      <c r="G75" t="s">
        <v>29</v>
      </c>
      <c r="H75">
        <v>8</v>
      </c>
      <c r="I75">
        <v>200.92</v>
      </c>
      <c r="J75">
        <v>0.1</v>
      </c>
      <c r="K75" t="s">
        <v>53</v>
      </c>
      <c r="L75">
        <v>127.14</v>
      </c>
      <c r="M75">
        <f t="shared" si="3"/>
        <v>1446.624</v>
      </c>
      <c r="N75">
        <f t="shared" si="4"/>
        <v>1319.4839999999999</v>
      </c>
      <c r="O75" t="str">
        <f t="shared" si="5"/>
        <v>South</v>
      </c>
    </row>
    <row r="76" spans="1:15" x14ac:dyDescent="0.3">
      <c r="A76" t="s">
        <v>134</v>
      </c>
      <c r="B76" s="1">
        <v>45905</v>
      </c>
      <c r="C76" t="s">
        <v>42</v>
      </c>
      <c r="D76" t="s">
        <v>46</v>
      </c>
      <c r="E76" t="s">
        <v>15</v>
      </c>
      <c r="F76" t="s">
        <v>35</v>
      </c>
      <c r="G76" t="s">
        <v>40</v>
      </c>
      <c r="H76">
        <v>3</v>
      </c>
      <c r="I76">
        <v>485.26</v>
      </c>
      <c r="J76">
        <v>0.05</v>
      </c>
      <c r="K76" t="s">
        <v>44</v>
      </c>
      <c r="L76">
        <v>295.24</v>
      </c>
      <c r="M76">
        <f t="shared" si="3"/>
        <v>1382.991</v>
      </c>
      <c r="N76">
        <f t="shared" si="4"/>
        <v>1087.751</v>
      </c>
      <c r="O76" t="str">
        <f t="shared" si="5"/>
        <v>East</v>
      </c>
    </row>
    <row r="77" spans="1:15" x14ac:dyDescent="0.3">
      <c r="A77" t="s">
        <v>135</v>
      </c>
      <c r="B77" s="1">
        <v>45931</v>
      </c>
      <c r="C77" t="s">
        <v>92</v>
      </c>
      <c r="D77" t="s">
        <v>43</v>
      </c>
      <c r="E77" t="s">
        <v>15</v>
      </c>
      <c r="F77" t="s">
        <v>35</v>
      </c>
      <c r="G77" t="s">
        <v>40</v>
      </c>
      <c r="H77">
        <v>3</v>
      </c>
      <c r="I77">
        <v>206.87</v>
      </c>
      <c r="J77">
        <v>0.1</v>
      </c>
      <c r="K77" t="s">
        <v>53</v>
      </c>
      <c r="L77">
        <v>114.57</v>
      </c>
      <c r="M77">
        <f t="shared" si="3"/>
        <v>558.54899999999998</v>
      </c>
      <c r="N77">
        <f t="shared" si="4"/>
        <v>443.97899999999998</v>
      </c>
      <c r="O77" t="str">
        <f t="shared" si="5"/>
        <v>East</v>
      </c>
    </row>
    <row r="78" spans="1:15" x14ac:dyDescent="0.3">
      <c r="A78" t="s">
        <v>136</v>
      </c>
      <c r="B78" s="1">
        <v>45664</v>
      </c>
      <c r="C78" t="s">
        <v>60</v>
      </c>
      <c r="D78" t="s">
        <v>46</v>
      </c>
      <c r="E78" t="s">
        <v>15</v>
      </c>
      <c r="F78" t="s">
        <v>35</v>
      </c>
      <c r="G78" t="s">
        <v>65</v>
      </c>
      <c r="H78">
        <v>3</v>
      </c>
      <c r="I78">
        <v>287.64</v>
      </c>
      <c r="J78">
        <v>0.15</v>
      </c>
      <c r="K78" t="s">
        <v>18</v>
      </c>
      <c r="L78">
        <v>166.17</v>
      </c>
      <c r="M78">
        <f t="shared" si="3"/>
        <v>733.48199999999997</v>
      </c>
      <c r="N78">
        <f t="shared" si="4"/>
        <v>567.31200000000001</v>
      </c>
      <c r="O78" t="str">
        <f t="shared" si="5"/>
        <v>East</v>
      </c>
    </row>
    <row r="79" spans="1:15" x14ac:dyDescent="0.3">
      <c r="A79" t="s">
        <v>137</v>
      </c>
      <c r="B79" s="1">
        <v>45902</v>
      </c>
      <c r="C79" t="s">
        <v>76</v>
      </c>
      <c r="D79" t="s">
        <v>61</v>
      </c>
      <c r="E79" t="s">
        <v>34</v>
      </c>
      <c r="F79" t="s">
        <v>16</v>
      </c>
      <c r="G79" t="s">
        <v>65</v>
      </c>
      <c r="H79">
        <v>1</v>
      </c>
      <c r="I79">
        <v>60.66</v>
      </c>
      <c r="J79">
        <v>0.1</v>
      </c>
      <c r="K79" t="s">
        <v>18</v>
      </c>
      <c r="L79">
        <v>48.78</v>
      </c>
      <c r="M79">
        <f t="shared" si="3"/>
        <v>54.594000000000001</v>
      </c>
      <c r="N79">
        <f t="shared" si="4"/>
        <v>5.8140000000000001</v>
      </c>
      <c r="O79" t="str">
        <f t="shared" si="5"/>
        <v>North</v>
      </c>
    </row>
    <row r="80" spans="1:15" x14ac:dyDescent="0.3">
      <c r="A80" t="s">
        <v>138</v>
      </c>
      <c r="B80" s="1">
        <v>45946</v>
      </c>
      <c r="C80" t="s">
        <v>79</v>
      </c>
      <c r="D80" t="s">
        <v>14</v>
      </c>
      <c r="E80" t="s">
        <v>15</v>
      </c>
      <c r="F80" t="s">
        <v>16</v>
      </c>
      <c r="G80" t="s">
        <v>49</v>
      </c>
      <c r="H80">
        <v>1</v>
      </c>
      <c r="I80">
        <v>530.80999999999995</v>
      </c>
      <c r="J80">
        <v>0.05</v>
      </c>
      <c r="K80" t="s">
        <v>53</v>
      </c>
      <c r="L80">
        <v>313.33</v>
      </c>
      <c r="M80">
        <f t="shared" si="3"/>
        <v>504.26949999999994</v>
      </c>
      <c r="N80">
        <f t="shared" si="4"/>
        <v>190.93949999999995</v>
      </c>
      <c r="O80" t="str">
        <f t="shared" si="5"/>
        <v>North</v>
      </c>
    </row>
    <row r="81" spans="1:15" x14ac:dyDescent="0.3">
      <c r="A81" t="s">
        <v>139</v>
      </c>
      <c r="B81" s="1">
        <v>45773</v>
      </c>
      <c r="C81" t="s">
        <v>52</v>
      </c>
      <c r="D81" t="s">
        <v>46</v>
      </c>
      <c r="E81" t="s">
        <v>15</v>
      </c>
      <c r="F81" t="s">
        <v>28</v>
      </c>
      <c r="G81" t="s">
        <v>65</v>
      </c>
      <c r="H81">
        <v>10</v>
      </c>
      <c r="I81">
        <v>429.33</v>
      </c>
      <c r="J81">
        <v>0.2</v>
      </c>
      <c r="K81" t="s">
        <v>18</v>
      </c>
      <c r="L81">
        <v>327.79</v>
      </c>
      <c r="M81">
        <f t="shared" si="3"/>
        <v>3434.6400000000003</v>
      </c>
      <c r="N81">
        <f t="shared" si="4"/>
        <v>3106.8500000000004</v>
      </c>
      <c r="O81" t="str">
        <f t="shared" si="5"/>
        <v>West</v>
      </c>
    </row>
    <row r="82" spans="1:15" x14ac:dyDescent="0.3">
      <c r="A82" t="s">
        <v>140</v>
      </c>
      <c r="B82" s="1">
        <v>45688</v>
      </c>
      <c r="C82" t="s">
        <v>104</v>
      </c>
      <c r="D82" t="s">
        <v>43</v>
      </c>
      <c r="E82" t="s">
        <v>15</v>
      </c>
      <c r="F82" t="s">
        <v>16</v>
      </c>
      <c r="G82" t="s">
        <v>49</v>
      </c>
      <c r="H82">
        <v>7</v>
      </c>
      <c r="I82">
        <v>365.04</v>
      </c>
      <c r="J82">
        <v>0.1</v>
      </c>
      <c r="K82" t="s">
        <v>44</v>
      </c>
      <c r="L82">
        <v>256.82</v>
      </c>
      <c r="M82">
        <f t="shared" si="3"/>
        <v>2299.7520000000004</v>
      </c>
      <c r="N82">
        <f t="shared" si="4"/>
        <v>2042.9320000000005</v>
      </c>
      <c r="O82" t="str">
        <f t="shared" si="5"/>
        <v>North</v>
      </c>
    </row>
    <row r="83" spans="1:15" x14ac:dyDescent="0.3">
      <c r="A83" t="s">
        <v>141</v>
      </c>
      <c r="B83" s="1">
        <v>45696</v>
      </c>
      <c r="C83" t="s">
        <v>25</v>
      </c>
      <c r="D83" t="s">
        <v>43</v>
      </c>
      <c r="E83" t="s">
        <v>15</v>
      </c>
      <c r="F83" t="s">
        <v>16</v>
      </c>
      <c r="G83" t="s">
        <v>65</v>
      </c>
      <c r="H83">
        <v>3</v>
      </c>
      <c r="I83">
        <v>315.11</v>
      </c>
      <c r="J83">
        <v>0.05</v>
      </c>
      <c r="K83" t="s">
        <v>18</v>
      </c>
      <c r="L83">
        <v>188.1</v>
      </c>
      <c r="M83">
        <f t="shared" si="3"/>
        <v>898.06349999999998</v>
      </c>
      <c r="N83">
        <f t="shared" si="4"/>
        <v>709.96349999999995</v>
      </c>
      <c r="O83" t="str">
        <f t="shared" si="5"/>
        <v>North</v>
      </c>
    </row>
    <row r="84" spans="1:15" x14ac:dyDescent="0.3">
      <c r="A84" t="s">
        <v>142</v>
      </c>
      <c r="B84" s="1">
        <v>45802</v>
      </c>
      <c r="C84" t="s">
        <v>73</v>
      </c>
      <c r="D84" t="s">
        <v>64</v>
      </c>
      <c r="E84" t="s">
        <v>34</v>
      </c>
      <c r="F84" t="s">
        <v>16</v>
      </c>
      <c r="G84" t="s">
        <v>22</v>
      </c>
      <c r="H84">
        <v>1</v>
      </c>
      <c r="I84">
        <v>89.04</v>
      </c>
      <c r="J84">
        <v>0.05</v>
      </c>
      <c r="K84" t="s">
        <v>44</v>
      </c>
      <c r="L84">
        <v>55.9</v>
      </c>
      <c r="M84">
        <f t="shared" si="3"/>
        <v>84.588000000000008</v>
      </c>
      <c r="N84">
        <f t="shared" si="4"/>
        <v>28.688000000000009</v>
      </c>
      <c r="O84" t="str">
        <f t="shared" si="5"/>
        <v>North</v>
      </c>
    </row>
    <row r="85" spans="1:15" x14ac:dyDescent="0.3">
      <c r="A85" t="s">
        <v>143</v>
      </c>
      <c r="B85" s="1">
        <v>45936</v>
      </c>
      <c r="C85" t="s">
        <v>69</v>
      </c>
      <c r="D85" t="s">
        <v>43</v>
      </c>
      <c r="E85" t="s">
        <v>15</v>
      </c>
      <c r="F85" t="s">
        <v>21</v>
      </c>
      <c r="G85" t="s">
        <v>29</v>
      </c>
      <c r="H85">
        <v>10</v>
      </c>
      <c r="I85">
        <v>346.96</v>
      </c>
      <c r="J85">
        <v>0.05</v>
      </c>
      <c r="K85" t="s">
        <v>44</v>
      </c>
      <c r="L85">
        <v>230.65</v>
      </c>
      <c r="M85">
        <f t="shared" si="3"/>
        <v>3296.12</v>
      </c>
      <c r="N85">
        <f t="shared" si="4"/>
        <v>3065.47</v>
      </c>
      <c r="O85" t="str">
        <f t="shared" si="5"/>
        <v>South</v>
      </c>
    </row>
    <row r="86" spans="1:15" x14ac:dyDescent="0.3">
      <c r="A86" t="s">
        <v>144</v>
      </c>
      <c r="B86" s="1">
        <v>45949</v>
      </c>
      <c r="C86" t="s">
        <v>79</v>
      </c>
      <c r="D86" t="s">
        <v>14</v>
      </c>
      <c r="E86" t="s">
        <v>15</v>
      </c>
      <c r="F86" t="s">
        <v>28</v>
      </c>
      <c r="G86" t="s">
        <v>40</v>
      </c>
      <c r="H86">
        <v>5</v>
      </c>
      <c r="I86">
        <v>323.86</v>
      </c>
      <c r="J86">
        <v>0.2</v>
      </c>
      <c r="K86" t="s">
        <v>18</v>
      </c>
      <c r="L86">
        <v>243.61</v>
      </c>
      <c r="M86">
        <f t="shared" si="3"/>
        <v>1295.4400000000003</v>
      </c>
      <c r="N86">
        <f t="shared" si="4"/>
        <v>1051.8300000000004</v>
      </c>
      <c r="O86" t="str">
        <f t="shared" si="5"/>
        <v>West</v>
      </c>
    </row>
    <row r="87" spans="1:15" x14ac:dyDescent="0.3">
      <c r="A87" t="s">
        <v>145</v>
      </c>
      <c r="B87" s="1">
        <v>45882</v>
      </c>
      <c r="C87" t="s">
        <v>37</v>
      </c>
      <c r="D87" t="s">
        <v>43</v>
      </c>
      <c r="E87" t="s">
        <v>15</v>
      </c>
      <c r="F87" t="s">
        <v>16</v>
      </c>
      <c r="G87" t="s">
        <v>65</v>
      </c>
      <c r="H87">
        <v>5</v>
      </c>
      <c r="I87">
        <v>324.93</v>
      </c>
      <c r="J87">
        <v>0.2</v>
      </c>
      <c r="K87" t="s">
        <v>30</v>
      </c>
      <c r="L87">
        <v>226.08</v>
      </c>
      <c r="M87">
        <f t="shared" si="3"/>
        <v>1299.7200000000003</v>
      </c>
      <c r="N87">
        <f t="shared" si="4"/>
        <v>1073.6400000000003</v>
      </c>
      <c r="O87" t="str">
        <f t="shared" si="5"/>
        <v>North</v>
      </c>
    </row>
    <row r="88" spans="1:15" x14ac:dyDescent="0.3">
      <c r="A88" t="s">
        <v>146</v>
      </c>
      <c r="B88" s="1">
        <v>45952</v>
      </c>
      <c r="C88" t="s">
        <v>60</v>
      </c>
      <c r="D88" t="s">
        <v>64</v>
      </c>
      <c r="E88" t="s">
        <v>34</v>
      </c>
      <c r="F88" t="s">
        <v>16</v>
      </c>
      <c r="G88" t="s">
        <v>22</v>
      </c>
      <c r="H88">
        <v>2</v>
      </c>
      <c r="I88">
        <v>63.79</v>
      </c>
      <c r="J88">
        <v>0.05</v>
      </c>
      <c r="K88" t="s">
        <v>30</v>
      </c>
      <c r="L88">
        <v>51.65</v>
      </c>
      <c r="M88">
        <f t="shared" si="3"/>
        <v>121.20099999999999</v>
      </c>
      <c r="N88">
        <f t="shared" si="4"/>
        <v>69.550999999999988</v>
      </c>
      <c r="O88" t="str">
        <f t="shared" si="5"/>
        <v>North</v>
      </c>
    </row>
    <row r="89" spans="1:15" x14ac:dyDescent="0.3">
      <c r="A89" t="s">
        <v>147</v>
      </c>
      <c r="B89" s="1">
        <v>45884</v>
      </c>
      <c r="C89" t="s">
        <v>42</v>
      </c>
      <c r="D89" t="s">
        <v>64</v>
      </c>
      <c r="E89" t="s">
        <v>34</v>
      </c>
      <c r="F89" t="s">
        <v>21</v>
      </c>
      <c r="G89" t="s">
        <v>17</v>
      </c>
      <c r="H89">
        <v>3</v>
      </c>
      <c r="I89">
        <v>39.630000000000003</v>
      </c>
      <c r="J89">
        <v>0.15</v>
      </c>
      <c r="K89" t="s">
        <v>18</v>
      </c>
      <c r="L89">
        <v>27.35</v>
      </c>
      <c r="M89">
        <f t="shared" si="3"/>
        <v>101.05650000000001</v>
      </c>
      <c r="N89">
        <f t="shared" si="4"/>
        <v>73.706500000000005</v>
      </c>
      <c r="O89" t="str">
        <f t="shared" si="5"/>
        <v>South</v>
      </c>
    </row>
    <row r="90" spans="1:15" x14ac:dyDescent="0.3">
      <c r="A90" t="s">
        <v>148</v>
      </c>
      <c r="B90" s="1">
        <v>45822</v>
      </c>
      <c r="C90" t="s">
        <v>76</v>
      </c>
      <c r="D90" t="s">
        <v>61</v>
      </c>
      <c r="E90" t="s">
        <v>34</v>
      </c>
      <c r="F90" t="s">
        <v>21</v>
      </c>
      <c r="G90" t="s">
        <v>29</v>
      </c>
      <c r="H90">
        <v>8</v>
      </c>
      <c r="I90">
        <v>117.21</v>
      </c>
      <c r="J90">
        <v>0.1</v>
      </c>
      <c r="K90" t="s">
        <v>563</v>
      </c>
      <c r="L90">
        <v>77.39</v>
      </c>
      <c r="M90">
        <f t="shared" si="3"/>
        <v>843.91199999999992</v>
      </c>
      <c r="N90">
        <f t="shared" si="4"/>
        <v>766.52199999999993</v>
      </c>
      <c r="O90" t="str">
        <f t="shared" si="5"/>
        <v>South</v>
      </c>
    </row>
    <row r="91" spans="1:15" x14ac:dyDescent="0.3">
      <c r="A91" t="s">
        <v>149</v>
      </c>
      <c r="B91" s="1">
        <v>45703</v>
      </c>
      <c r="C91" t="s">
        <v>67</v>
      </c>
      <c r="D91" t="s">
        <v>61</v>
      </c>
      <c r="E91" t="s">
        <v>34</v>
      </c>
      <c r="F91" t="s">
        <v>35</v>
      </c>
      <c r="G91" t="s">
        <v>29</v>
      </c>
      <c r="H91">
        <v>7</v>
      </c>
      <c r="I91">
        <v>55.94</v>
      </c>
      <c r="J91">
        <v>0.2</v>
      </c>
      <c r="K91" t="s">
        <v>53</v>
      </c>
      <c r="L91">
        <v>31.32</v>
      </c>
      <c r="M91">
        <f t="shared" si="3"/>
        <v>313.26400000000001</v>
      </c>
      <c r="N91">
        <f t="shared" si="4"/>
        <v>281.94400000000002</v>
      </c>
      <c r="O91" t="str">
        <f t="shared" si="5"/>
        <v>East</v>
      </c>
    </row>
    <row r="92" spans="1:15" x14ac:dyDescent="0.3">
      <c r="A92" t="s">
        <v>150</v>
      </c>
      <c r="B92" s="1">
        <v>45685</v>
      </c>
      <c r="C92" t="s">
        <v>48</v>
      </c>
      <c r="D92" t="s">
        <v>26</v>
      </c>
      <c r="E92" t="s">
        <v>27</v>
      </c>
      <c r="F92" t="s">
        <v>35</v>
      </c>
      <c r="G92" t="s">
        <v>17</v>
      </c>
      <c r="H92">
        <v>1</v>
      </c>
      <c r="I92">
        <v>272.98</v>
      </c>
      <c r="J92">
        <v>0.2</v>
      </c>
      <c r="K92" t="s">
        <v>18</v>
      </c>
      <c r="L92">
        <v>184.19</v>
      </c>
      <c r="M92">
        <f t="shared" si="3"/>
        <v>218.38400000000001</v>
      </c>
      <c r="N92">
        <f t="shared" si="4"/>
        <v>34.194000000000017</v>
      </c>
      <c r="O92" t="str">
        <f t="shared" si="5"/>
        <v>East</v>
      </c>
    </row>
    <row r="93" spans="1:15" x14ac:dyDescent="0.3">
      <c r="A93" t="s">
        <v>151</v>
      </c>
      <c r="B93" s="1">
        <v>45805</v>
      </c>
      <c r="C93" t="s">
        <v>73</v>
      </c>
      <c r="D93" t="s">
        <v>61</v>
      </c>
      <c r="E93" t="s">
        <v>34</v>
      </c>
      <c r="F93" t="s">
        <v>28</v>
      </c>
      <c r="G93" t="s">
        <v>40</v>
      </c>
      <c r="H93">
        <v>4</v>
      </c>
      <c r="I93">
        <v>98.4</v>
      </c>
      <c r="J93">
        <v>0.1</v>
      </c>
      <c r="K93" t="s">
        <v>53</v>
      </c>
      <c r="L93">
        <v>68.709999999999994</v>
      </c>
      <c r="M93">
        <f t="shared" si="3"/>
        <v>354.24</v>
      </c>
      <c r="N93">
        <f t="shared" si="4"/>
        <v>285.53000000000003</v>
      </c>
      <c r="O93" t="str">
        <f t="shared" si="5"/>
        <v>West</v>
      </c>
    </row>
    <row r="94" spans="1:15" x14ac:dyDescent="0.3">
      <c r="A94" t="s">
        <v>152</v>
      </c>
      <c r="B94" s="1">
        <v>45940</v>
      </c>
      <c r="C94" t="s">
        <v>100</v>
      </c>
      <c r="D94" t="s">
        <v>64</v>
      </c>
      <c r="E94" t="s">
        <v>34</v>
      </c>
      <c r="F94" t="s">
        <v>16</v>
      </c>
      <c r="G94" t="s">
        <v>49</v>
      </c>
      <c r="H94">
        <v>3</v>
      </c>
      <c r="I94">
        <v>126.92</v>
      </c>
      <c r="J94">
        <v>0.1</v>
      </c>
      <c r="K94" t="s">
        <v>53</v>
      </c>
      <c r="L94">
        <v>88.68</v>
      </c>
      <c r="M94">
        <f t="shared" si="3"/>
        <v>342.68400000000003</v>
      </c>
      <c r="N94">
        <f t="shared" si="4"/>
        <v>254.00400000000002</v>
      </c>
      <c r="O94" t="str">
        <f t="shared" si="5"/>
        <v>North</v>
      </c>
    </row>
    <row r="95" spans="1:15" x14ac:dyDescent="0.3">
      <c r="A95" t="s">
        <v>153</v>
      </c>
      <c r="B95" s="1">
        <v>45807</v>
      </c>
      <c r="C95" t="s">
        <v>52</v>
      </c>
      <c r="D95" t="s">
        <v>61</v>
      </c>
      <c r="E95" t="s">
        <v>34</v>
      </c>
      <c r="F95" t="s">
        <v>35</v>
      </c>
      <c r="G95" t="s">
        <v>65</v>
      </c>
      <c r="H95">
        <v>3</v>
      </c>
      <c r="I95">
        <v>115.24</v>
      </c>
      <c r="J95">
        <v>0.15</v>
      </c>
      <c r="K95" t="s">
        <v>18</v>
      </c>
      <c r="L95">
        <v>92.4</v>
      </c>
      <c r="M95">
        <f t="shared" si="3"/>
        <v>293.86199999999997</v>
      </c>
      <c r="N95">
        <f t="shared" si="4"/>
        <v>201.46199999999996</v>
      </c>
      <c r="O95" t="str">
        <f t="shared" si="5"/>
        <v>East</v>
      </c>
    </row>
    <row r="96" spans="1:15" x14ac:dyDescent="0.3">
      <c r="A96" t="s">
        <v>154</v>
      </c>
      <c r="B96" s="1">
        <v>45964</v>
      </c>
      <c r="C96" t="s">
        <v>52</v>
      </c>
      <c r="D96" t="s">
        <v>61</v>
      </c>
      <c r="E96" t="s">
        <v>34</v>
      </c>
      <c r="F96" t="s">
        <v>21</v>
      </c>
      <c r="G96" t="s">
        <v>40</v>
      </c>
      <c r="H96">
        <v>9</v>
      </c>
      <c r="I96">
        <v>51.94</v>
      </c>
      <c r="J96">
        <v>0.05</v>
      </c>
      <c r="K96" t="s">
        <v>30</v>
      </c>
      <c r="L96">
        <v>33.950000000000003</v>
      </c>
      <c r="M96">
        <f t="shared" si="3"/>
        <v>444.08699999999993</v>
      </c>
      <c r="N96">
        <f t="shared" si="4"/>
        <v>410.13699999999994</v>
      </c>
      <c r="O96" t="str">
        <f t="shared" si="5"/>
        <v>South</v>
      </c>
    </row>
    <row r="97" spans="1:15" x14ac:dyDescent="0.3">
      <c r="A97" t="s">
        <v>155</v>
      </c>
      <c r="B97" s="1">
        <v>45802</v>
      </c>
      <c r="C97" t="s">
        <v>79</v>
      </c>
      <c r="D97" t="s">
        <v>26</v>
      </c>
      <c r="E97" t="s">
        <v>27</v>
      </c>
      <c r="F97" t="s">
        <v>28</v>
      </c>
      <c r="G97" t="s">
        <v>49</v>
      </c>
      <c r="H97">
        <v>9</v>
      </c>
      <c r="I97">
        <v>167.98</v>
      </c>
      <c r="J97">
        <v>0.1</v>
      </c>
      <c r="K97" t="s">
        <v>18</v>
      </c>
      <c r="L97">
        <v>129.6</v>
      </c>
      <c r="M97">
        <f t="shared" si="3"/>
        <v>1360.6379999999999</v>
      </c>
      <c r="N97">
        <f t="shared" si="4"/>
        <v>1231.038</v>
      </c>
      <c r="O97" t="str">
        <f t="shared" si="5"/>
        <v>West</v>
      </c>
    </row>
    <row r="98" spans="1:15" x14ac:dyDescent="0.3">
      <c r="A98" t="s">
        <v>156</v>
      </c>
      <c r="B98" s="1">
        <v>45851</v>
      </c>
      <c r="C98" t="s">
        <v>73</v>
      </c>
      <c r="D98" t="s">
        <v>46</v>
      </c>
      <c r="E98" t="s">
        <v>15</v>
      </c>
      <c r="F98" t="s">
        <v>35</v>
      </c>
      <c r="G98" t="s">
        <v>49</v>
      </c>
      <c r="H98">
        <v>6</v>
      </c>
      <c r="I98">
        <v>345.3</v>
      </c>
      <c r="J98">
        <v>0.2</v>
      </c>
      <c r="K98" t="s">
        <v>44</v>
      </c>
      <c r="L98">
        <v>261.04000000000002</v>
      </c>
      <c r="M98">
        <f t="shared" si="3"/>
        <v>1657.4400000000003</v>
      </c>
      <c r="N98">
        <f t="shared" si="4"/>
        <v>1396.4000000000003</v>
      </c>
      <c r="O98" t="str">
        <f t="shared" si="5"/>
        <v>East</v>
      </c>
    </row>
    <row r="99" spans="1:15" x14ac:dyDescent="0.3">
      <c r="A99" t="s">
        <v>157</v>
      </c>
      <c r="B99" s="1">
        <v>45900</v>
      </c>
      <c r="C99" t="s">
        <v>55</v>
      </c>
      <c r="D99" t="s">
        <v>64</v>
      </c>
      <c r="E99" t="s">
        <v>34</v>
      </c>
      <c r="F99" t="s">
        <v>28</v>
      </c>
      <c r="G99" t="s">
        <v>22</v>
      </c>
      <c r="H99">
        <v>7</v>
      </c>
      <c r="I99">
        <v>79.040000000000006</v>
      </c>
      <c r="J99">
        <v>0</v>
      </c>
      <c r="K99" t="s">
        <v>44</v>
      </c>
      <c r="L99">
        <v>50.26</v>
      </c>
      <c r="M99">
        <f t="shared" si="3"/>
        <v>553.28000000000009</v>
      </c>
      <c r="N99">
        <f t="shared" si="4"/>
        <v>503.0200000000001</v>
      </c>
      <c r="O99" t="str">
        <f t="shared" si="5"/>
        <v>West</v>
      </c>
    </row>
    <row r="100" spans="1:15" x14ac:dyDescent="0.3">
      <c r="A100" t="s">
        <v>158</v>
      </c>
      <c r="B100" s="1">
        <v>45827</v>
      </c>
      <c r="C100" t="s">
        <v>76</v>
      </c>
      <c r="D100" t="s">
        <v>61</v>
      </c>
      <c r="E100" t="s">
        <v>34</v>
      </c>
      <c r="F100" t="s">
        <v>28</v>
      </c>
      <c r="G100" t="s">
        <v>40</v>
      </c>
      <c r="H100">
        <v>3</v>
      </c>
      <c r="I100">
        <v>116.83</v>
      </c>
      <c r="J100">
        <v>0.2</v>
      </c>
      <c r="K100" t="s">
        <v>23</v>
      </c>
      <c r="L100">
        <v>94.71</v>
      </c>
      <c r="M100">
        <f t="shared" si="3"/>
        <v>280.392</v>
      </c>
      <c r="N100">
        <f t="shared" si="4"/>
        <v>185.68200000000002</v>
      </c>
      <c r="O100" t="str">
        <f t="shared" si="5"/>
        <v>West</v>
      </c>
    </row>
    <row r="101" spans="1:15" x14ac:dyDescent="0.3">
      <c r="A101" t="s">
        <v>159</v>
      </c>
      <c r="B101" s="1">
        <v>45737</v>
      </c>
      <c r="C101" t="s">
        <v>37</v>
      </c>
      <c r="D101" t="s">
        <v>61</v>
      </c>
      <c r="E101" t="s">
        <v>34</v>
      </c>
      <c r="F101" t="s">
        <v>28</v>
      </c>
      <c r="G101" t="s">
        <v>29</v>
      </c>
      <c r="H101">
        <v>3</v>
      </c>
      <c r="I101">
        <v>31.38</v>
      </c>
      <c r="J101">
        <v>0.15</v>
      </c>
      <c r="K101" t="s">
        <v>30</v>
      </c>
      <c r="L101">
        <v>24.64</v>
      </c>
      <c r="M101">
        <f t="shared" si="3"/>
        <v>80.019000000000005</v>
      </c>
      <c r="N101">
        <f t="shared" si="4"/>
        <v>55.379000000000005</v>
      </c>
      <c r="O101" t="str">
        <f t="shared" si="5"/>
        <v>West</v>
      </c>
    </row>
    <row r="102" spans="1:15" x14ac:dyDescent="0.3">
      <c r="A102" t="s">
        <v>160</v>
      </c>
      <c r="B102" s="1">
        <v>45931</v>
      </c>
      <c r="C102" t="s">
        <v>55</v>
      </c>
      <c r="D102" t="s">
        <v>64</v>
      </c>
      <c r="E102" t="s">
        <v>34</v>
      </c>
      <c r="F102" t="s">
        <v>35</v>
      </c>
      <c r="G102" t="s">
        <v>22</v>
      </c>
      <c r="H102">
        <v>2</v>
      </c>
      <c r="I102">
        <v>114.66</v>
      </c>
      <c r="J102">
        <v>0.1</v>
      </c>
      <c r="K102" t="s">
        <v>18</v>
      </c>
      <c r="L102">
        <v>89.45</v>
      </c>
      <c r="M102">
        <f t="shared" si="3"/>
        <v>206.38800000000001</v>
      </c>
      <c r="N102">
        <f t="shared" si="4"/>
        <v>116.938</v>
      </c>
      <c r="O102" t="str">
        <f t="shared" si="5"/>
        <v>East</v>
      </c>
    </row>
    <row r="103" spans="1:15" x14ac:dyDescent="0.3">
      <c r="A103" t="s">
        <v>161</v>
      </c>
      <c r="B103" s="1">
        <v>45805</v>
      </c>
      <c r="C103" t="s">
        <v>69</v>
      </c>
      <c r="D103" t="s">
        <v>46</v>
      </c>
      <c r="E103" t="s">
        <v>15</v>
      </c>
      <c r="F103" t="s">
        <v>16</v>
      </c>
      <c r="G103" t="s">
        <v>65</v>
      </c>
      <c r="H103">
        <v>2</v>
      </c>
      <c r="I103">
        <v>210.77</v>
      </c>
      <c r="J103">
        <v>0.05</v>
      </c>
      <c r="K103" t="s">
        <v>53</v>
      </c>
      <c r="L103">
        <v>151.84</v>
      </c>
      <c r="M103">
        <f t="shared" si="3"/>
        <v>400.46300000000002</v>
      </c>
      <c r="N103">
        <f t="shared" si="4"/>
        <v>248.62300000000002</v>
      </c>
      <c r="O103" t="str">
        <f t="shared" si="5"/>
        <v>North</v>
      </c>
    </row>
    <row r="104" spans="1:15" x14ac:dyDescent="0.3">
      <c r="A104" t="s">
        <v>162</v>
      </c>
      <c r="B104" s="1">
        <v>45686</v>
      </c>
      <c r="C104" t="s">
        <v>79</v>
      </c>
      <c r="D104" t="s">
        <v>14</v>
      </c>
      <c r="E104" t="s">
        <v>15</v>
      </c>
      <c r="F104" t="s">
        <v>35</v>
      </c>
      <c r="G104" t="s">
        <v>29</v>
      </c>
      <c r="H104">
        <v>5</v>
      </c>
      <c r="I104">
        <v>477.47</v>
      </c>
      <c r="J104">
        <v>0</v>
      </c>
      <c r="K104" t="s">
        <v>18</v>
      </c>
      <c r="L104">
        <v>268.54000000000002</v>
      </c>
      <c r="M104">
        <f t="shared" si="3"/>
        <v>2387.3500000000004</v>
      </c>
      <c r="N104">
        <f t="shared" si="4"/>
        <v>2118.8100000000004</v>
      </c>
      <c r="O104" t="str">
        <f t="shared" si="5"/>
        <v>East</v>
      </c>
    </row>
    <row r="105" spans="1:15" x14ac:dyDescent="0.3">
      <c r="A105" t="s">
        <v>163</v>
      </c>
      <c r="B105" s="1">
        <v>45750</v>
      </c>
      <c r="C105" t="s">
        <v>25</v>
      </c>
      <c r="D105" t="s">
        <v>33</v>
      </c>
      <c r="E105" t="s">
        <v>34</v>
      </c>
      <c r="F105" t="s">
        <v>21</v>
      </c>
      <c r="G105" t="s">
        <v>40</v>
      </c>
      <c r="H105">
        <v>7</v>
      </c>
      <c r="I105">
        <v>74.19</v>
      </c>
      <c r="J105">
        <v>0.2</v>
      </c>
      <c r="K105" t="s">
        <v>23</v>
      </c>
      <c r="L105">
        <v>54.46</v>
      </c>
      <c r="M105">
        <f t="shared" si="3"/>
        <v>415.46399999999994</v>
      </c>
      <c r="N105">
        <f t="shared" si="4"/>
        <v>361.00399999999996</v>
      </c>
      <c r="O105" t="str">
        <f t="shared" si="5"/>
        <v>South</v>
      </c>
    </row>
    <row r="106" spans="1:15" x14ac:dyDescent="0.3">
      <c r="A106" t="s">
        <v>164</v>
      </c>
      <c r="B106" s="1">
        <v>45731</v>
      </c>
      <c r="C106" t="s">
        <v>69</v>
      </c>
      <c r="D106" t="s">
        <v>26</v>
      </c>
      <c r="E106" t="s">
        <v>27</v>
      </c>
      <c r="F106" t="s">
        <v>28</v>
      </c>
      <c r="G106" t="s">
        <v>22</v>
      </c>
      <c r="H106">
        <v>4</v>
      </c>
      <c r="I106">
        <v>223.94</v>
      </c>
      <c r="J106">
        <v>0.15</v>
      </c>
      <c r="K106" t="s">
        <v>30</v>
      </c>
      <c r="L106">
        <v>178.36</v>
      </c>
      <c r="M106">
        <f t="shared" si="3"/>
        <v>761.39599999999996</v>
      </c>
      <c r="N106">
        <f t="shared" si="4"/>
        <v>583.03599999999994</v>
      </c>
      <c r="O106" t="str">
        <f t="shared" si="5"/>
        <v>West</v>
      </c>
    </row>
    <row r="107" spans="1:15" x14ac:dyDescent="0.3">
      <c r="A107" t="s">
        <v>165</v>
      </c>
      <c r="B107" s="1">
        <v>46004</v>
      </c>
      <c r="C107" t="s">
        <v>13</v>
      </c>
      <c r="D107" t="s">
        <v>61</v>
      </c>
      <c r="E107" t="s">
        <v>34</v>
      </c>
      <c r="F107" t="s">
        <v>21</v>
      </c>
      <c r="G107" t="s">
        <v>40</v>
      </c>
      <c r="H107">
        <v>1</v>
      </c>
      <c r="I107">
        <v>52.98</v>
      </c>
      <c r="J107">
        <v>0.15</v>
      </c>
      <c r="K107" t="s">
        <v>18</v>
      </c>
      <c r="L107">
        <v>42.03</v>
      </c>
      <c r="M107">
        <f t="shared" si="3"/>
        <v>45.032999999999994</v>
      </c>
      <c r="N107">
        <f t="shared" si="4"/>
        <v>3.002999999999993</v>
      </c>
      <c r="O107" t="str">
        <f t="shared" si="5"/>
        <v>South</v>
      </c>
    </row>
    <row r="108" spans="1:15" x14ac:dyDescent="0.3">
      <c r="A108" t="s">
        <v>166</v>
      </c>
      <c r="B108" s="1">
        <v>45891</v>
      </c>
      <c r="C108" t="s">
        <v>79</v>
      </c>
      <c r="D108" t="s">
        <v>39</v>
      </c>
      <c r="E108" t="s">
        <v>27</v>
      </c>
      <c r="F108" t="s">
        <v>21</v>
      </c>
      <c r="G108" t="s">
        <v>65</v>
      </c>
      <c r="H108">
        <v>5</v>
      </c>
      <c r="I108">
        <v>347.16</v>
      </c>
      <c r="J108">
        <v>0.15</v>
      </c>
      <c r="K108" t="s">
        <v>18</v>
      </c>
      <c r="L108">
        <v>255.64</v>
      </c>
      <c r="M108">
        <f t="shared" si="3"/>
        <v>1475.43</v>
      </c>
      <c r="N108">
        <f t="shared" si="4"/>
        <v>1219.79</v>
      </c>
      <c r="O108" t="str">
        <f t="shared" si="5"/>
        <v>South</v>
      </c>
    </row>
    <row r="109" spans="1:15" x14ac:dyDescent="0.3">
      <c r="A109" t="s">
        <v>167</v>
      </c>
      <c r="B109" s="1">
        <v>46016</v>
      </c>
      <c r="C109" t="s">
        <v>79</v>
      </c>
      <c r="D109" t="s">
        <v>14</v>
      </c>
      <c r="E109" t="s">
        <v>15</v>
      </c>
      <c r="F109" t="s">
        <v>16</v>
      </c>
      <c r="G109" t="s">
        <v>22</v>
      </c>
      <c r="H109">
        <v>10</v>
      </c>
      <c r="I109">
        <v>394.88</v>
      </c>
      <c r="J109">
        <v>0.1</v>
      </c>
      <c r="K109" t="s">
        <v>18</v>
      </c>
      <c r="L109">
        <v>278.47000000000003</v>
      </c>
      <c r="M109">
        <f t="shared" si="3"/>
        <v>3553.92</v>
      </c>
      <c r="N109">
        <f t="shared" si="4"/>
        <v>3275.45</v>
      </c>
      <c r="O109" t="str">
        <f t="shared" si="5"/>
        <v>North</v>
      </c>
    </row>
    <row r="110" spans="1:15" x14ac:dyDescent="0.3">
      <c r="A110" t="s">
        <v>168</v>
      </c>
      <c r="B110" s="1">
        <v>45804</v>
      </c>
      <c r="C110" t="s">
        <v>69</v>
      </c>
      <c r="D110" t="s">
        <v>43</v>
      </c>
      <c r="E110" t="s">
        <v>15</v>
      </c>
      <c r="F110" t="s">
        <v>35</v>
      </c>
      <c r="G110" t="s">
        <v>49</v>
      </c>
      <c r="H110">
        <v>1</v>
      </c>
      <c r="I110">
        <v>152.02000000000001</v>
      </c>
      <c r="J110">
        <v>0.2</v>
      </c>
      <c r="K110" t="s">
        <v>44</v>
      </c>
      <c r="L110">
        <v>114.2</v>
      </c>
      <c r="M110">
        <f t="shared" si="3"/>
        <v>121.61600000000001</v>
      </c>
      <c r="N110">
        <f t="shared" si="4"/>
        <v>7.416000000000011</v>
      </c>
      <c r="O110" t="str">
        <f t="shared" si="5"/>
        <v>East</v>
      </c>
    </row>
    <row r="111" spans="1:15" x14ac:dyDescent="0.3">
      <c r="A111" t="s">
        <v>169</v>
      </c>
      <c r="B111" s="1">
        <v>45988</v>
      </c>
      <c r="C111" t="s">
        <v>125</v>
      </c>
      <c r="D111" t="s">
        <v>64</v>
      </c>
      <c r="E111" t="s">
        <v>34</v>
      </c>
      <c r="F111" t="s">
        <v>35</v>
      </c>
      <c r="G111" t="s">
        <v>65</v>
      </c>
      <c r="H111">
        <v>3</v>
      </c>
      <c r="I111">
        <v>63.82</v>
      </c>
      <c r="J111">
        <v>0</v>
      </c>
      <c r="K111" t="s">
        <v>53</v>
      </c>
      <c r="L111">
        <v>50.67</v>
      </c>
      <c r="M111">
        <f t="shared" si="3"/>
        <v>191.46</v>
      </c>
      <c r="N111">
        <f t="shared" si="4"/>
        <v>140.79000000000002</v>
      </c>
      <c r="O111" t="str">
        <f t="shared" si="5"/>
        <v>East</v>
      </c>
    </row>
    <row r="112" spans="1:15" x14ac:dyDescent="0.3">
      <c r="A112" t="s">
        <v>170</v>
      </c>
      <c r="B112" s="1">
        <v>45825</v>
      </c>
      <c r="C112" t="s">
        <v>100</v>
      </c>
      <c r="D112" t="s">
        <v>64</v>
      </c>
      <c r="E112" t="s">
        <v>34</v>
      </c>
      <c r="F112" t="s">
        <v>21</v>
      </c>
      <c r="G112" t="s">
        <v>49</v>
      </c>
      <c r="H112">
        <v>3</v>
      </c>
      <c r="I112">
        <v>76.959999999999994</v>
      </c>
      <c r="J112">
        <v>0</v>
      </c>
      <c r="K112" t="s">
        <v>44</v>
      </c>
      <c r="L112">
        <v>61.23</v>
      </c>
      <c r="M112">
        <f t="shared" si="3"/>
        <v>230.88</v>
      </c>
      <c r="N112">
        <f t="shared" si="4"/>
        <v>169.65</v>
      </c>
      <c r="O112" t="str">
        <f t="shared" si="5"/>
        <v>South</v>
      </c>
    </row>
    <row r="113" spans="1:15" x14ac:dyDescent="0.3">
      <c r="A113" t="s">
        <v>171</v>
      </c>
      <c r="B113" s="1">
        <v>45797</v>
      </c>
      <c r="C113" t="s">
        <v>25</v>
      </c>
      <c r="D113" t="s">
        <v>46</v>
      </c>
      <c r="E113" t="s">
        <v>15</v>
      </c>
      <c r="F113" t="s">
        <v>35</v>
      </c>
      <c r="G113" t="s">
        <v>65</v>
      </c>
      <c r="H113">
        <v>6</v>
      </c>
      <c r="I113">
        <v>462.94</v>
      </c>
      <c r="J113">
        <v>0.2</v>
      </c>
      <c r="K113" t="s">
        <v>30</v>
      </c>
      <c r="L113">
        <v>317.33999999999997</v>
      </c>
      <c r="M113">
        <f t="shared" si="3"/>
        <v>2222.1120000000001</v>
      </c>
      <c r="N113">
        <f t="shared" si="4"/>
        <v>1904.7720000000002</v>
      </c>
      <c r="O113" t="str">
        <f t="shared" si="5"/>
        <v>East</v>
      </c>
    </row>
    <row r="114" spans="1:15" x14ac:dyDescent="0.3">
      <c r="A114" t="s">
        <v>172</v>
      </c>
      <c r="B114" s="1">
        <v>45773</v>
      </c>
      <c r="C114" t="s">
        <v>55</v>
      </c>
      <c r="D114" t="s">
        <v>39</v>
      </c>
      <c r="E114" t="s">
        <v>27</v>
      </c>
      <c r="F114" t="s">
        <v>35</v>
      </c>
      <c r="G114" t="s">
        <v>40</v>
      </c>
      <c r="H114">
        <v>8</v>
      </c>
      <c r="I114">
        <v>304.97000000000003</v>
      </c>
      <c r="J114">
        <v>0</v>
      </c>
      <c r="K114" t="s">
        <v>18</v>
      </c>
      <c r="L114">
        <v>179.32</v>
      </c>
      <c r="M114">
        <f t="shared" si="3"/>
        <v>2439.7600000000002</v>
      </c>
      <c r="N114">
        <f t="shared" si="4"/>
        <v>2260.44</v>
      </c>
      <c r="O114" t="str">
        <f t="shared" si="5"/>
        <v>East</v>
      </c>
    </row>
    <row r="115" spans="1:15" x14ac:dyDescent="0.3">
      <c r="A115" t="s">
        <v>173</v>
      </c>
      <c r="B115" s="1">
        <v>46002</v>
      </c>
      <c r="C115" t="s">
        <v>42</v>
      </c>
      <c r="D115" t="s">
        <v>20</v>
      </c>
      <c r="E115" t="s">
        <v>15</v>
      </c>
      <c r="F115" t="s">
        <v>28</v>
      </c>
      <c r="G115" t="s">
        <v>22</v>
      </c>
      <c r="H115">
        <v>2</v>
      </c>
      <c r="I115">
        <v>716.11</v>
      </c>
      <c r="J115">
        <v>0.15</v>
      </c>
      <c r="K115" t="s">
        <v>30</v>
      </c>
      <c r="L115">
        <v>465.13</v>
      </c>
      <c r="M115">
        <f t="shared" si="3"/>
        <v>1217.3869999999999</v>
      </c>
      <c r="N115">
        <f t="shared" si="4"/>
        <v>752.25699999999995</v>
      </c>
      <c r="O115" t="str">
        <f t="shared" si="5"/>
        <v>West</v>
      </c>
    </row>
    <row r="116" spans="1:15" x14ac:dyDescent="0.3">
      <c r="A116" t="s">
        <v>174</v>
      </c>
      <c r="B116" s="1">
        <v>45945</v>
      </c>
      <c r="C116" t="s">
        <v>67</v>
      </c>
      <c r="D116" t="s">
        <v>14</v>
      </c>
      <c r="E116" t="s">
        <v>15</v>
      </c>
      <c r="F116" t="s">
        <v>21</v>
      </c>
      <c r="G116" t="s">
        <v>22</v>
      </c>
      <c r="H116">
        <v>8</v>
      </c>
      <c r="I116">
        <v>569.92999999999995</v>
      </c>
      <c r="J116">
        <v>0</v>
      </c>
      <c r="K116" t="s">
        <v>53</v>
      </c>
      <c r="L116">
        <v>408.8</v>
      </c>
      <c r="M116">
        <f t="shared" si="3"/>
        <v>4559.4399999999996</v>
      </c>
      <c r="N116">
        <f t="shared" si="4"/>
        <v>4150.6399999999994</v>
      </c>
      <c r="O116" t="str">
        <f t="shared" si="5"/>
        <v>South</v>
      </c>
    </row>
    <row r="117" spans="1:15" x14ac:dyDescent="0.3">
      <c r="A117" t="s">
        <v>175</v>
      </c>
      <c r="B117" s="1">
        <v>45681</v>
      </c>
      <c r="C117" t="s">
        <v>125</v>
      </c>
      <c r="D117" t="s">
        <v>61</v>
      </c>
      <c r="E117" t="s">
        <v>34</v>
      </c>
      <c r="F117" t="s">
        <v>35</v>
      </c>
      <c r="G117" t="s">
        <v>65</v>
      </c>
      <c r="H117">
        <v>5</v>
      </c>
      <c r="I117">
        <v>111.84</v>
      </c>
      <c r="J117">
        <v>0.15</v>
      </c>
      <c r="K117" t="s">
        <v>53</v>
      </c>
      <c r="L117">
        <v>65.040000000000006</v>
      </c>
      <c r="M117">
        <f t="shared" si="3"/>
        <v>475.32000000000005</v>
      </c>
      <c r="N117">
        <f t="shared" si="4"/>
        <v>410.28000000000003</v>
      </c>
      <c r="O117" t="str">
        <f t="shared" si="5"/>
        <v>East</v>
      </c>
    </row>
    <row r="118" spans="1:15" x14ac:dyDescent="0.3">
      <c r="A118" t="s">
        <v>176</v>
      </c>
      <c r="B118" s="1">
        <v>45847</v>
      </c>
      <c r="C118" t="s">
        <v>13</v>
      </c>
      <c r="D118" t="s">
        <v>14</v>
      </c>
      <c r="E118" t="s">
        <v>15</v>
      </c>
      <c r="F118" t="s">
        <v>28</v>
      </c>
      <c r="G118" t="s">
        <v>17</v>
      </c>
      <c r="H118">
        <v>9</v>
      </c>
      <c r="I118">
        <v>393.92</v>
      </c>
      <c r="J118">
        <v>0.05</v>
      </c>
      <c r="K118" t="s">
        <v>44</v>
      </c>
      <c r="L118">
        <v>257.99</v>
      </c>
      <c r="M118">
        <f t="shared" si="3"/>
        <v>3368.0160000000001</v>
      </c>
      <c r="N118">
        <f t="shared" si="4"/>
        <v>3110.0259999999998</v>
      </c>
      <c r="O118" t="str">
        <f t="shared" si="5"/>
        <v>West</v>
      </c>
    </row>
    <row r="119" spans="1:15" x14ac:dyDescent="0.3">
      <c r="A119" t="s">
        <v>177</v>
      </c>
      <c r="B119" s="1">
        <v>45801</v>
      </c>
      <c r="C119" t="s">
        <v>125</v>
      </c>
      <c r="D119" t="s">
        <v>26</v>
      </c>
      <c r="E119" t="s">
        <v>27</v>
      </c>
      <c r="F119" t="s">
        <v>35</v>
      </c>
      <c r="G119" t="s">
        <v>49</v>
      </c>
      <c r="H119">
        <v>8</v>
      </c>
      <c r="I119">
        <v>230.98</v>
      </c>
      <c r="J119">
        <v>0.2</v>
      </c>
      <c r="K119" t="s">
        <v>18</v>
      </c>
      <c r="L119">
        <v>152.49</v>
      </c>
      <c r="M119">
        <f t="shared" si="3"/>
        <v>1478.2719999999999</v>
      </c>
      <c r="N119">
        <f t="shared" si="4"/>
        <v>1325.7819999999999</v>
      </c>
      <c r="O119" t="str">
        <f t="shared" si="5"/>
        <v>East</v>
      </c>
    </row>
    <row r="120" spans="1:15" x14ac:dyDescent="0.3">
      <c r="A120" t="s">
        <v>178</v>
      </c>
      <c r="B120" s="1">
        <v>45846</v>
      </c>
      <c r="C120" t="s">
        <v>13</v>
      </c>
      <c r="D120" t="s">
        <v>61</v>
      </c>
      <c r="E120" t="s">
        <v>34</v>
      </c>
      <c r="F120" t="s">
        <v>35</v>
      </c>
      <c r="G120" t="s">
        <v>40</v>
      </c>
      <c r="H120">
        <v>6</v>
      </c>
      <c r="I120">
        <v>115.55</v>
      </c>
      <c r="J120">
        <v>0</v>
      </c>
      <c r="K120" t="s">
        <v>18</v>
      </c>
      <c r="L120">
        <v>94.16</v>
      </c>
      <c r="M120">
        <f t="shared" si="3"/>
        <v>693.3</v>
      </c>
      <c r="N120">
        <f t="shared" si="4"/>
        <v>599.14</v>
      </c>
      <c r="O120" t="str">
        <f t="shared" si="5"/>
        <v>East</v>
      </c>
    </row>
    <row r="121" spans="1:15" x14ac:dyDescent="0.3">
      <c r="A121" t="s">
        <v>179</v>
      </c>
      <c r="B121" s="1">
        <v>45766</v>
      </c>
      <c r="C121" t="s">
        <v>104</v>
      </c>
      <c r="D121" t="s">
        <v>43</v>
      </c>
      <c r="E121" t="s">
        <v>15</v>
      </c>
      <c r="F121" t="s">
        <v>16</v>
      </c>
      <c r="G121" t="s">
        <v>40</v>
      </c>
      <c r="H121">
        <v>2</v>
      </c>
      <c r="I121">
        <v>197.45</v>
      </c>
      <c r="J121">
        <v>0.15</v>
      </c>
      <c r="K121" t="s">
        <v>30</v>
      </c>
      <c r="L121">
        <v>113.48</v>
      </c>
      <c r="M121">
        <f t="shared" si="3"/>
        <v>335.66499999999996</v>
      </c>
      <c r="N121">
        <f t="shared" si="4"/>
        <v>222.18499999999995</v>
      </c>
      <c r="O121" t="str">
        <f t="shared" si="5"/>
        <v>North</v>
      </c>
    </row>
    <row r="122" spans="1:15" x14ac:dyDescent="0.3">
      <c r="A122" t="s">
        <v>180</v>
      </c>
      <c r="B122" s="1">
        <v>45941</v>
      </c>
      <c r="C122" t="s">
        <v>48</v>
      </c>
      <c r="D122" t="s">
        <v>70</v>
      </c>
      <c r="E122" t="s">
        <v>34</v>
      </c>
      <c r="F122" t="s">
        <v>21</v>
      </c>
      <c r="G122" t="s">
        <v>49</v>
      </c>
      <c r="H122">
        <v>10</v>
      </c>
      <c r="I122">
        <v>99.16</v>
      </c>
      <c r="J122">
        <v>0.05</v>
      </c>
      <c r="K122" t="s">
        <v>30</v>
      </c>
      <c r="L122">
        <v>56.37</v>
      </c>
      <c r="M122">
        <f t="shared" si="3"/>
        <v>942.01999999999987</v>
      </c>
      <c r="N122">
        <f t="shared" si="4"/>
        <v>885.64999999999986</v>
      </c>
      <c r="O122" t="str">
        <f t="shared" si="5"/>
        <v>South</v>
      </c>
    </row>
    <row r="123" spans="1:15" x14ac:dyDescent="0.3">
      <c r="A123" t="s">
        <v>181</v>
      </c>
      <c r="B123" s="1">
        <v>45732</v>
      </c>
      <c r="C123" t="s">
        <v>92</v>
      </c>
      <c r="D123" t="s">
        <v>33</v>
      </c>
      <c r="E123" t="s">
        <v>34</v>
      </c>
      <c r="F123" t="s">
        <v>35</v>
      </c>
      <c r="G123" t="s">
        <v>49</v>
      </c>
      <c r="H123">
        <v>10</v>
      </c>
      <c r="I123">
        <v>150.41</v>
      </c>
      <c r="J123">
        <v>0</v>
      </c>
      <c r="K123" t="s">
        <v>53</v>
      </c>
      <c r="L123">
        <v>93.99</v>
      </c>
      <c r="M123">
        <f t="shared" si="3"/>
        <v>1504.1</v>
      </c>
      <c r="N123">
        <f t="shared" si="4"/>
        <v>1410.11</v>
      </c>
      <c r="O123" t="str">
        <f t="shared" si="5"/>
        <v>East</v>
      </c>
    </row>
    <row r="124" spans="1:15" x14ac:dyDescent="0.3">
      <c r="A124" t="s">
        <v>182</v>
      </c>
      <c r="B124" s="1">
        <v>45666</v>
      </c>
      <c r="C124" t="s">
        <v>25</v>
      </c>
      <c r="D124" t="s">
        <v>20</v>
      </c>
      <c r="E124" t="s">
        <v>15</v>
      </c>
      <c r="F124" t="s">
        <v>35</v>
      </c>
      <c r="G124" t="s">
        <v>40</v>
      </c>
      <c r="H124">
        <v>6</v>
      </c>
      <c r="I124">
        <v>682.95</v>
      </c>
      <c r="J124">
        <v>0.05</v>
      </c>
      <c r="K124" t="s">
        <v>44</v>
      </c>
      <c r="L124">
        <v>484.2</v>
      </c>
      <c r="M124">
        <f t="shared" si="3"/>
        <v>3892.8150000000005</v>
      </c>
      <c r="N124">
        <f t="shared" si="4"/>
        <v>3408.6150000000007</v>
      </c>
      <c r="O124" t="str">
        <f t="shared" si="5"/>
        <v>East</v>
      </c>
    </row>
    <row r="125" spans="1:15" x14ac:dyDescent="0.3">
      <c r="A125" t="s">
        <v>183</v>
      </c>
      <c r="B125" s="1">
        <v>45843</v>
      </c>
      <c r="C125" t="s">
        <v>52</v>
      </c>
      <c r="D125" t="s">
        <v>26</v>
      </c>
      <c r="E125" t="s">
        <v>27</v>
      </c>
      <c r="F125" t="s">
        <v>16</v>
      </c>
      <c r="G125" t="s">
        <v>65</v>
      </c>
      <c r="H125">
        <v>2</v>
      </c>
      <c r="I125">
        <v>205.22</v>
      </c>
      <c r="J125">
        <v>0.15</v>
      </c>
      <c r="K125" t="s">
        <v>23</v>
      </c>
      <c r="L125">
        <v>137.71</v>
      </c>
      <c r="M125">
        <f t="shared" si="3"/>
        <v>348.87399999999997</v>
      </c>
      <c r="N125">
        <f t="shared" si="4"/>
        <v>211.16399999999996</v>
      </c>
      <c r="O125" t="str">
        <f t="shared" si="5"/>
        <v>North</v>
      </c>
    </row>
    <row r="126" spans="1:15" x14ac:dyDescent="0.3">
      <c r="A126" t="s">
        <v>184</v>
      </c>
      <c r="B126" s="1">
        <v>45987</v>
      </c>
      <c r="C126" t="s">
        <v>85</v>
      </c>
      <c r="D126" t="s">
        <v>70</v>
      </c>
      <c r="E126" t="s">
        <v>34</v>
      </c>
      <c r="F126" t="s">
        <v>16</v>
      </c>
      <c r="G126" t="s">
        <v>65</v>
      </c>
      <c r="H126">
        <v>1</v>
      </c>
      <c r="I126">
        <v>95.91</v>
      </c>
      <c r="J126">
        <v>0.2</v>
      </c>
      <c r="K126" t="s">
        <v>18</v>
      </c>
      <c r="L126">
        <v>60.56</v>
      </c>
      <c r="M126">
        <f t="shared" si="3"/>
        <v>76.727999999999994</v>
      </c>
      <c r="N126">
        <f t="shared" si="4"/>
        <v>16.167999999999992</v>
      </c>
      <c r="O126" t="str">
        <f t="shared" si="5"/>
        <v>North</v>
      </c>
    </row>
    <row r="127" spans="1:15" x14ac:dyDescent="0.3">
      <c r="A127" t="s">
        <v>185</v>
      </c>
      <c r="B127" s="1">
        <v>45699</v>
      </c>
      <c r="C127" t="s">
        <v>67</v>
      </c>
      <c r="D127" t="s">
        <v>26</v>
      </c>
      <c r="E127" t="s">
        <v>27</v>
      </c>
      <c r="F127" t="s">
        <v>21</v>
      </c>
      <c r="G127" t="s">
        <v>40</v>
      </c>
      <c r="H127">
        <v>8</v>
      </c>
      <c r="I127">
        <v>237.22</v>
      </c>
      <c r="J127">
        <v>0.15</v>
      </c>
      <c r="K127" t="s">
        <v>44</v>
      </c>
      <c r="L127">
        <v>135.18</v>
      </c>
      <c r="M127">
        <f t="shared" si="3"/>
        <v>1613.096</v>
      </c>
      <c r="N127">
        <f t="shared" si="4"/>
        <v>1477.9159999999999</v>
      </c>
      <c r="O127" t="str">
        <f t="shared" si="5"/>
        <v>South</v>
      </c>
    </row>
    <row r="128" spans="1:15" x14ac:dyDescent="0.3">
      <c r="A128" t="s">
        <v>186</v>
      </c>
      <c r="B128" s="1">
        <v>45853</v>
      </c>
      <c r="C128" t="s">
        <v>104</v>
      </c>
      <c r="D128" t="s">
        <v>43</v>
      </c>
      <c r="E128" t="s">
        <v>15</v>
      </c>
      <c r="F128" t="s">
        <v>35</v>
      </c>
      <c r="G128" t="s">
        <v>65</v>
      </c>
      <c r="H128">
        <v>10</v>
      </c>
      <c r="I128">
        <v>306.08</v>
      </c>
      <c r="J128">
        <v>0.2</v>
      </c>
      <c r="K128" t="s">
        <v>23</v>
      </c>
      <c r="L128">
        <v>227.2</v>
      </c>
      <c r="M128">
        <f t="shared" si="3"/>
        <v>2448.64</v>
      </c>
      <c r="N128">
        <f t="shared" si="4"/>
        <v>2221.44</v>
      </c>
      <c r="O128" t="str">
        <f t="shared" si="5"/>
        <v>East</v>
      </c>
    </row>
    <row r="129" spans="1:15" x14ac:dyDescent="0.3">
      <c r="A129" t="s">
        <v>187</v>
      </c>
      <c r="B129" s="1">
        <v>45768</v>
      </c>
      <c r="C129" t="s">
        <v>100</v>
      </c>
      <c r="D129" t="s">
        <v>64</v>
      </c>
      <c r="E129" t="s">
        <v>34</v>
      </c>
      <c r="F129" t="s">
        <v>28</v>
      </c>
      <c r="G129" t="s">
        <v>49</v>
      </c>
      <c r="H129">
        <v>2</v>
      </c>
      <c r="I129">
        <v>84.47</v>
      </c>
      <c r="J129">
        <v>0.2</v>
      </c>
      <c r="K129" t="s">
        <v>18</v>
      </c>
      <c r="L129">
        <v>62.9</v>
      </c>
      <c r="M129">
        <f t="shared" si="3"/>
        <v>135.15200000000002</v>
      </c>
      <c r="N129">
        <f t="shared" si="4"/>
        <v>72.25200000000001</v>
      </c>
      <c r="O129" t="str">
        <f t="shared" si="5"/>
        <v>West</v>
      </c>
    </row>
    <row r="130" spans="1:15" x14ac:dyDescent="0.3">
      <c r="A130" t="s">
        <v>188</v>
      </c>
      <c r="B130" s="1">
        <v>45818</v>
      </c>
      <c r="C130" t="s">
        <v>100</v>
      </c>
      <c r="D130" t="s">
        <v>39</v>
      </c>
      <c r="E130" t="s">
        <v>27</v>
      </c>
      <c r="F130" t="s">
        <v>35</v>
      </c>
      <c r="G130" t="s">
        <v>22</v>
      </c>
      <c r="H130">
        <v>7</v>
      </c>
      <c r="I130">
        <v>310.31</v>
      </c>
      <c r="J130">
        <v>0.15</v>
      </c>
      <c r="K130" t="s">
        <v>30</v>
      </c>
      <c r="L130">
        <v>231.8</v>
      </c>
      <c r="M130">
        <f t="shared" ref="M130:M193" si="6">H130*I130*(1-J130)</f>
        <v>1846.3444999999999</v>
      </c>
      <c r="N130">
        <f t="shared" ref="N130:N193" si="7">M130-L130</f>
        <v>1614.5445</v>
      </c>
      <c r="O130" t="str">
        <f t="shared" ref="O130:O193" si="8">TRIM(CLEAN(SUBSTITUTE(F130,CHAR(160)," ")))</f>
        <v>East</v>
      </c>
    </row>
    <row r="131" spans="1:15" x14ac:dyDescent="0.3">
      <c r="A131" t="s">
        <v>189</v>
      </c>
      <c r="B131" s="1">
        <v>45701</v>
      </c>
      <c r="C131" t="s">
        <v>37</v>
      </c>
      <c r="D131" t="s">
        <v>39</v>
      </c>
      <c r="E131" t="s">
        <v>27</v>
      </c>
      <c r="F131" t="s">
        <v>28</v>
      </c>
      <c r="G131" t="s">
        <v>40</v>
      </c>
      <c r="H131">
        <v>8</v>
      </c>
      <c r="I131">
        <v>339.33</v>
      </c>
      <c r="J131">
        <v>0</v>
      </c>
      <c r="K131" t="s">
        <v>30</v>
      </c>
      <c r="L131">
        <v>194.99</v>
      </c>
      <c r="M131">
        <f t="shared" si="6"/>
        <v>2714.64</v>
      </c>
      <c r="N131">
        <f t="shared" si="7"/>
        <v>2519.6499999999996</v>
      </c>
      <c r="O131" t="str">
        <f t="shared" si="8"/>
        <v>West</v>
      </c>
    </row>
    <row r="132" spans="1:15" x14ac:dyDescent="0.3">
      <c r="A132" t="s">
        <v>190</v>
      </c>
      <c r="B132" s="1">
        <v>46001</v>
      </c>
      <c r="C132" t="s">
        <v>76</v>
      </c>
      <c r="D132" t="s">
        <v>33</v>
      </c>
      <c r="E132" t="s">
        <v>34</v>
      </c>
      <c r="F132" t="s">
        <v>28</v>
      </c>
      <c r="G132" t="s">
        <v>29</v>
      </c>
      <c r="H132">
        <v>10</v>
      </c>
      <c r="I132">
        <v>117.89</v>
      </c>
      <c r="J132">
        <v>0.2</v>
      </c>
      <c r="K132" t="s">
        <v>18</v>
      </c>
      <c r="L132">
        <v>82.72</v>
      </c>
      <c r="M132">
        <f t="shared" si="6"/>
        <v>943.12000000000012</v>
      </c>
      <c r="N132">
        <f t="shared" si="7"/>
        <v>860.40000000000009</v>
      </c>
      <c r="O132" t="str">
        <f t="shared" si="8"/>
        <v>West</v>
      </c>
    </row>
    <row r="133" spans="1:15" x14ac:dyDescent="0.3">
      <c r="A133" t="s">
        <v>191</v>
      </c>
      <c r="B133" s="1">
        <v>45953</v>
      </c>
      <c r="C133" t="s">
        <v>52</v>
      </c>
      <c r="D133" t="s">
        <v>20</v>
      </c>
      <c r="E133" t="s">
        <v>15</v>
      </c>
      <c r="F133" t="s">
        <v>21</v>
      </c>
      <c r="G133" t="s">
        <v>49</v>
      </c>
      <c r="H133">
        <v>10</v>
      </c>
      <c r="I133">
        <v>892.1</v>
      </c>
      <c r="J133">
        <v>0.1</v>
      </c>
      <c r="K133" t="s">
        <v>18</v>
      </c>
      <c r="L133">
        <v>575.35</v>
      </c>
      <c r="M133">
        <f t="shared" si="6"/>
        <v>8028.9000000000005</v>
      </c>
      <c r="N133">
        <f t="shared" si="7"/>
        <v>7453.55</v>
      </c>
      <c r="O133" t="str">
        <f t="shared" si="8"/>
        <v>South</v>
      </c>
    </row>
    <row r="134" spans="1:15" x14ac:dyDescent="0.3">
      <c r="A134" t="s">
        <v>192</v>
      </c>
      <c r="B134" s="1">
        <v>45800</v>
      </c>
      <c r="C134" t="s">
        <v>60</v>
      </c>
      <c r="D134" t="s">
        <v>70</v>
      </c>
      <c r="E134" t="s">
        <v>34</v>
      </c>
      <c r="F134" t="s">
        <v>21</v>
      </c>
      <c r="G134" t="s">
        <v>65</v>
      </c>
      <c r="H134">
        <v>6</v>
      </c>
      <c r="I134">
        <v>88.55</v>
      </c>
      <c r="J134">
        <v>0.2</v>
      </c>
      <c r="K134" t="s">
        <v>23</v>
      </c>
      <c r="L134">
        <v>57.49</v>
      </c>
      <c r="M134">
        <f t="shared" si="6"/>
        <v>425.03999999999996</v>
      </c>
      <c r="N134">
        <f t="shared" si="7"/>
        <v>367.54999999999995</v>
      </c>
      <c r="O134" t="str">
        <f t="shared" si="8"/>
        <v>South</v>
      </c>
    </row>
    <row r="135" spans="1:15" x14ac:dyDescent="0.3">
      <c r="A135" t="s">
        <v>193</v>
      </c>
      <c r="B135" s="1">
        <v>45994</v>
      </c>
      <c r="C135" t="s">
        <v>42</v>
      </c>
      <c r="D135" t="s">
        <v>64</v>
      </c>
      <c r="E135" t="s">
        <v>34</v>
      </c>
      <c r="F135" t="s">
        <v>16</v>
      </c>
      <c r="G135" t="s">
        <v>49</v>
      </c>
      <c r="H135">
        <v>9</v>
      </c>
      <c r="I135">
        <v>105.56</v>
      </c>
      <c r="J135">
        <v>0</v>
      </c>
      <c r="K135" t="s">
        <v>30</v>
      </c>
      <c r="L135">
        <v>75.42</v>
      </c>
      <c r="M135">
        <f t="shared" si="6"/>
        <v>950.04</v>
      </c>
      <c r="N135">
        <f t="shared" si="7"/>
        <v>874.62</v>
      </c>
      <c r="O135" t="str">
        <f t="shared" si="8"/>
        <v>North</v>
      </c>
    </row>
    <row r="136" spans="1:15" x14ac:dyDescent="0.3">
      <c r="A136" t="s">
        <v>194</v>
      </c>
      <c r="B136" s="1">
        <v>45731</v>
      </c>
      <c r="C136" t="s">
        <v>60</v>
      </c>
      <c r="D136" t="s">
        <v>43</v>
      </c>
      <c r="E136" t="s">
        <v>15</v>
      </c>
      <c r="F136" t="s">
        <v>28</v>
      </c>
      <c r="G136" t="s">
        <v>40</v>
      </c>
      <c r="H136">
        <v>6</v>
      </c>
      <c r="I136">
        <v>380.38</v>
      </c>
      <c r="J136">
        <v>0</v>
      </c>
      <c r="K136" t="s">
        <v>44</v>
      </c>
      <c r="L136">
        <v>227.84</v>
      </c>
      <c r="M136">
        <f t="shared" si="6"/>
        <v>2282.2799999999997</v>
      </c>
      <c r="N136">
        <f t="shared" si="7"/>
        <v>2054.4399999999996</v>
      </c>
      <c r="O136" t="str">
        <f t="shared" si="8"/>
        <v>West</v>
      </c>
    </row>
    <row r="137" spans="1:15" x14ac:dyDescent="0.3">
      <c r="A137" t="s">
        <v>195</v>
      </c>
      <c r="B137" s="1">
        <v>45890</v>
      </c>
      <c r="C137" t="s">
        <v>67</v>
      </c>
      <c r="D137" t="s">
        <v>20</v>
      </c>
      <c r="E137" t="s">
        <v>15</v>
      </c>
      <c r="F137" t="s">
        <v>21</v>
      </c>
      <c r="G137" t="s">
        <v>29</v>
      </c>
      <c r="H137">
        <v>9</v>
      </c>
      <c r="I137">
        <v>672.94</v>
      </c>
      <c r="J137">
        <v>0.05</v>
      </c>
      <c r="K137" t="s">
        <v>30</v>
      </c>
      <c r="L137">
        <v>438.47</v>
      </c>
      <c r="M137">
        <f t="shared" si="6"/>
        <v>5753.6370000000006</v>
      </c>
      <c r="N137">
        <f t="shared" si="7"/>
        <v>5315.1670000000004</v>
      </c>
      <c r="O137" t="str">
        <f t="shared" si="8"/>
        <v>South</v>
      </c>
    </row>
    <row r="138" spans="1:15" x14ac:dyDescent="0.3">
      <c r="A138" t="s">
        <v>196</v>
      </c>
      <c r="B138" s="1">
        <v>45684</v>
      </c>
      <c r="C138" t="s">
        <v>92</v>
      </c>
      <c r="D138" t="s">
        <v>39</v>
      </c>
      <c r="E138" t="s">
        <v>27</v>
      </c>
      <c r="F138" t="s">
        <v>21</v>
      </c>
      <c r="G138" t="s">
        <v>17</v>
      </c>
      <c r="H138">
        <v>10</v>
      </c>
      <c r="I138">
        <v>298.67</v>
      </c>
      <c r="J138">
        <v>0.2</v>
      </c>
      <c r="K138" t="s">
        <v>53</v>
      </c>
      <c r="L138">
        <v>171.12</v>
      </c>
      <c r="M138">
        <f t="shared" si="6"/>
        <v>2389.36</v>
      </c>
      <c r="N138">
        <f t="shared" si="7"/>
        <v>2218.2400000000002</v>
      </c>
      <c r="O138" t="str">
        <f t="shared" si="8"/>
        <v>South</v>
      </c>
    </row>
    <row r="139" spans="1:15" x14ac:dyDescent="0.3">
      <c r="A139" t="s">
        <v>197</v>
      </c>
      <c r="B139" s="1">
        <v>45870</v>
      </c>
      <c r="C139" t="s">
        <v>42</v>
      </c>
      <c r="D139" t="s">
        <v>14</v>
      </c>
      <c r="E139" t="s">
        <v>15</v>
      </c>
      <c r="F139" t="s">
        <v>21</v>
      </c>
      <c r="G139" t="s">
        <v>17</v>
      </c>
      <c r="H139">
        <v>7</v>
      </c>
      <c r="I139">
        <v>408.84</v>
      </c>
      <c r="J139">
        <v>0.15</v>
      </c>
      <c r="K139" t="s">
        <v>53</v>
      </c>
      <c r="L139">
        <v>291.88</v>
      </c>
      <c r="M139">
        <f t="shared" si="6"/>
        <v>2432.5979999999995</v>
      </c>
      <c r="N139">
        <f t="shared" si="7"/>
        <v>2140.7179999999994</v>
      </c>
      <c r="O139" t="str">
        <f t="shared" si="8"/>
        <v>South</v>
      </c>
    </row>
    <row r="140" spans="1:15" x14ac:dyDescent="0.3">
      <c r="A140" t="s">
        <v>198</v>
      </c>
      <c r="B140" s="1">
        <v>45999</v>
      </c>
      <c r="C140" t="s">
        <v>79</v>
      </c>
      <c r="D140" t="s">
        <v>39</v>
      </c>
      <c r="E140" t="s">
        <v>27</v>
      </c>
      <c r="F140" t="s">
        <v>16</v>
      </c>
      <c r="G140" t="s">
        <v>49</v>
      </c>
      <c r="H140">
        <v>5</v>
      </c>
      <c r="I140">
        <v>218.88</v>
      </c>
      <c r="J140">
        <v>0.2</v>
      </c>
      <c r="K140" t="s">
        <v>18</v>
      </c>
      <c r="L140">
        <v>149.13999999999999</v>
      </c>
      <c r="M140">
        <f t="shared" si="6"/>
        <v>875.5200000000001</v>
      </c>
      <c r="N140">
        <f t="shared" si="7"/>
        <v>726.38000000000011</v>
      </c>
      <c r="O140" t="str">
        <f t="shared" si="8"/>
        <v>North</v>
      </c>
    </row>
    <row r="141" spans="1:15" x14ac:dyDescent="0.3">
      <c r="A141" t="s">
        <v>199</v>
      </c>
      <c r="B141" s="1">
        <v>45728</v>
      </c>
      <c r="C141" t="s">
        <v>42</v>
      </c>
      <c r="D141" t="s">
        <v>64</v>
      </c>
      <c r="E141" t="s">
        <v>34</v>
      </c>
      <c r="F141" t="s">
        <v>35</v>
      </c>
      <c r="G141" t="s">
        <v>29</v>
      </c>
      <c r="H141">
        <v>4</v>
      </c>
      <c r="I141">
        <v>41.3</v>
      </c>
      <c r="J141">
        <v>0.1</v>
      </c>
      <c r="K141" t="s">
        <v>53</v>
      </c>
      <c r="L141">
        <v>33.26</v>
      </c>
      <c r="M141">
        <f t="shared" si="6"/>
        <v>148.68</v>
      </c>
      <c r="N141">
        <f t="shared" si="7"/>
        <v>115.42000000000002</v>
      </c>
      <c r="O141" t="str">
        <f t="shared" si="8"/>
        <v>East</v>
      </c>
    </row>
    <row r="142" spans="1:15" x14ac:dyDescent="0.3">
      <c r="A142" t="s">
        <v>200</v>
      </c>
      <c r="B142" s="1">
        <v>45930</v>
      </c>
      <c r="C142" t="s">
        <v>69</v>
      </c>
      <c r="D142" t="s">
        <v>20</v>
      </c>
      <c r="E142" t="s">
        <v>15</v>
      </c>
      <c r="F142" t="s">
        <v>35</v>
      </c>
      <c r="G142" t="s">
        <v>40</v>
      </c>
      <c r="H142">
        <v>7</v>
      </c>
      <c r="I142">
        <v>774.35</v>
      </c>
      <c r="J142">
        <v>0.05</v>
      </c>
      <c r="K142" t="s">
        <v>18</v>
      </c>
      <c r="L142">
        <v>452.9</v>
      </c>
      <c r="M142">
        <f t="shared" si="6"/>
        <v>5149.4274999999998</v>
      </c>
      <c r="N142">
        <f t="shared" si="7"/>
        <v>4696.5275000000001</v>
      </c>
      <c r="O142" t="str">
        <f t="shared" si="8"/>
        <v>East</v>
      </c>
    </row>
    <row r="143" spans="1:15" x14ac:dyDescent="0.3">
      <c r="A143" t="s">
        <v>201</v>
      </c>
      <c r="B143" s="1">
        <v>45952</v>
      </c>
      <c r="C143" t="s">
        <v>100</v>
      </c>
      <c r="D143" t="s">
        <v>20</v>
      </c>
      <c r="E143" t="s">
        <v>15</v>
      </c>
      <c r="F143" t="s">
        <v>28</v>
      </c>
      <c r="G143" t="s">
        <v>22</v>
      </c>
      <c r="H143">
        <v>8</v>
      </c>
      <c r="I143">
        <v>759.05</v>
      </c>
      <c r="J143">
        <v>0</v>
      </c>
      <c r="K143" t="s">
        <v>18</v>
      </c>
      <c r="L143">
        <v>594.16</v>
      </c>
      <c r="M143">
        <f t="shared" si="6"/>
        <v>6072.4</v>
      </c>
      <c r="N143">
        <f t="shared" si="7"/>
        <v>5478.24</v>
      </c>
      <c r="O143" t="str">
        <f t="shared" si="8"/>
        <v>West</v>
      </c>
    </row>
    <row r="144" spans="1:15" x14ac:dyDescent="0.3">
      <c r="A144" t="s">
        <v>202</v>
      </c>
      <c r="B144" s="1">
        <v>45974</v>
      </c>
      <c r="C144" t="s">
        <v>73</v>
      </c>
      <c r="D144" t="s">
        <v>43</v>
      </c>
      <c r="E144" t="s">
        <v>15</v>
      </c>
      <c r="F144" t="s">
        <v>35</v>
      </c>
      <c r="G144" t="s">
        <v>40</v>
      </c>
      <c r="H144">
        <v>1</v>
      </c>
      <c r="I144">
        <v>178.79</v>
      </c>
      <c r="J144">
        <v>0.1</v>
      </c>
      <c r="K144" t="s">
        <v>18</v>
      </c>
      <c r="L144">
        <v>106.63</v>
      </c>
      <c r="M144">
        <f t="shared" si="6"/>
        <v>160.911</v>
      </c>
      <c r="N144">
        <f t="shared" si="7"/>
        <v>54.281000000000006</v>
      </c>
      <c r="O144" t="str">
        <f t="shared" si="8"/>
        <v>East</v>
      </c>
    </row>
    <row r="145" spans="1:15" x14ac:dyDescent="0.3">
      <c r="A145" t="s">
        <v>203</v>
      </c>
      <c r="B145" s="1">
        <v>45860</v>
      </c>
      <c r="C145" t="s">
        <v>79</v>
      </c>
      <c r="D145" t="s">
        <v>14</v>
      </c>
      <c r="E145" t="s">
        <v>15</v>
      </c>
      <c r="F145" t="s">
        <v>35</v>
      </c>
      <c r="G145" t="s">
        <v>49</v>
      </c>
      <c r="H145">
        <v>10</v>
      </c>
      <c r="I145">
        <v>397.33</v>
      </c>
      <c r="J145">
        <v>0.15</v>
      </c>
      <c r="K145" t="s">
        <v>30</v>
      </c>
      <c r="L145">
        <v>274.74</v>
      </c>
      <c r="M145">
        <f t="shared" si="6"/>
        <v>3377.3049999999998</v>
      </c>
      <c r="N145">
        <f t="shared" si="7"/>
        <v>3102.5649999999996</v>
      </c>
      <c r="O145" t="str">
        <f t="shared" si="8"/>
        <v>East</v>
      </c>
    </row>
    <row r="146" spans="1:15" x14ac:dyDescent="0.3">
      <c r="A146" t="s">
        <v>204</v>
      </c>
      <c r="B146" s="1">
        <v>45836</v>
      </c>
      <c r="C146" t="s">
        <v>32</v>
      </c>
      <c r="D146" t="s">
        <v>33</v>
      </c>
      <c r="E146" t="s">
        <v>34</v>
      </c>
      <c r="F146" t="s">
        <v>21</v>
      </c>
      <c r="G146" t="s">
        <v>49</v>
      </c>
      <c r="H146">
        <v>2</v>
      </c>
      <c r="I146">
        <v>50.69</v>
      </c>
      <c r="J146">
        <v>0.2</v>
      </c>
      <c r="K146" t="s">
        <v>53</v>
      </c>
      <c r="L146">
        <v>34.86</v>
      </c>
      <c r="M146">
        <f t="shared" si="6"/>
        <v>81.103999999999999</v>
      </c>
      <c r="N146">
        <f t="shared" si="7"/>
        <v>46.244</v>
      </c>
      <c r="O146" t="str">
        <f t="shared" si="8"/>
        <v>South</v>
      </c>
    </row>
    <row r="147" spans="1:15" x14ac:dyDescent="0.3">
      <c r="A147" t="s">
        <v>205</v>
      </c>
      <c r="B147" s="1">
        <v>45993</v>
      </c>
      <c r="C147" t="s">
        <v>37</v>
      </c>
      <c r="D147" t="s">
        <v>33</v>
      </c>
      <c r="E147" t="s">
        <v>34</v>
      </c>
      <c r="F147" t="s">
        <v>21</v>
      </c>
      <c r="G147" t="s">
        <v>22</v>
      </c>
      <c r="H147">
        <v>3</v>
      </c>
      <c r="I147">
        <v>75.84</v>
      </c>
      <c r="J147">
        <v>0.2</v>
      </c>
      <c r="K147" t="s">
        <v>18</v>
      </c>
      <c r="L147">
        <v>44.84</v>
      </c>
      <c r="M147">
        <f t="shared" si="6"/>
        <v>182.01600000000002</v>
      </c>
      <c r="N147">
        <f t="shared" si="7"/>
        <v>137.17600000000002</v>
      </c>
      <c r="O147" t="str">
        <f t="shared" si="8"/>
        <v>South</v>
      </c>
    </row>
    <row r="148" spans="1:15" x14ac:dyDescent="0.3">
      <c r="A148" t="s">
        <v>206</v>
      </c>
      <c r="B148" s="1">
        <v>45947</v>
      </c>
      <c r="C148" t="s">
        <v>104</v>
      </c>
      <c r="D148" t="s">
        <v>61</v>
      </c>
      <c r="E148" t="s">
        <v>34</v>
      </c>
      <c r="F148" t="s">
        <v>35</v>
      </c>
      <c r="G148" t="s">
        <v>22</v>
      </c>
      <c r="H148">
        <v>10</v>
      </c>
      <c r="I148">
        <v>97.9</v>
      </c>
      <c r="J148">
        <v>0.15</v>
      </c>
      <c r="K148" t="s">
        <v>30</v>
      </c>
      <c r="L148">
        <v>71.849999999999994</v>
      </c>
      <c r="M148">
        <f t="shared" si="6"/>
        <v>832.15</v>
      </c>
      <c r="N148">
        <f t="shared" si="7"/>
        <v>760.3</v>
      </c>
      <c r="O148" t="str">
        <f t="shared" si="8"/>
        <v>East</v>
      </c>
    </row>
    <row r="149" spans="1:15" x14ac:dyDescent="0.3">
      <c r="A149" t="s">
        <v>207</v>
      </c>
      <c r="B149" s="1">
        <v>45798</v>
      </c>
      <c r="C149" t="s">
        <v>60</v>
      </c>
      <c r="D149" t="s">
        <v>33</v>
      </c>
      <c r="E149" t="s">
        <v>34</v>
      </c>
      <c r="F149" t="s">
        <v>16</v>
      </c>
      <c r="G149" t="s">
        <v>29</v>
      </c>
      <c r="H149">
        <v>8</v>
      </c>
      <c r="I149">
        <v>101.57</v>
      </c>
      <c r="J149">
        <v>0.15</v>
      </c>
      <c r="K149" t="s">
        <v>23</v>
      </c>
      <c r="L149">
        <v>73.180000000000007</v>
      </c>
      <c r="M149">
        <f t="shared" si="6"/>
        <v>690.67599999999993</v>
      </c>
      <c r="N149">
        <f t="shared" si="7"/>
        <v>617.49599999999987</v>
      </c>
      <c r="O149" t="str">
        <f t="shared" si="8"/>
        <v>North</v>
      </c>
    </row>
    <row r="150" spans="1:15" x14ac:dyDescent="0.3">
      <c r="A150" t="s">
        <v>208</v>
      </c>
      <c r="B150" s="1">
        <v>45804</v>
      </c>
      <c r="C150" t="s">
        <v>37</v>
      </c>
      <c r="D150" t="s">
        <v>14</v>
      </c>
      <c r="E150" t="s">
        <v>15</v>
      </c>
      <c r="F150" t="s">
        <v>16</v>
      </c>
      <c r="G150" t="s">
        <v>17</v>
      </c>
      <c r="H150">
        <v>8</v>
      </c>
      <c r="I150">
        <v>424.16</v>
      </c>
      <c r="J150">
        <v>0</v>
      </c>
      <c r="K150" t="s">
        <v>23</v>
      </c>
      <c r="L150">
        <v>239.8</v>
      </c>
      <c r="M150">
        <f t="shared" si="6"/>
        <v>3393.28</v>
      </c>
      <c r="N150">
        <f t="shared" si="7"/>
        <v>3153.48</v>
      </c>
      <c r="O150" t="str">
        <f t="shared" si="8"/>
        <v>North</v>
      </c>
    </row>
    <row r="151" spans="1:15" x14ac:dyDescent="0.3">
      <c r="A151" t="s">
        <v>209</v>
      </c>
      <c r="B151" s="1">
        <v>45679</v>
      </c>
      <c r="C151" t="s">
        <v>73</v>
      </c>
      <c r="D151" t="s">
        <v>46</v>
      </c>
      <c r="E151" t="s">
        <v>15</v>
      </c>
      <c r="F151" t="s">
        <v>210</v>
      </c>
      <c r="G151" t="s">
        <v>29</v>
      </c>
      <c r="H151">
        <v>10</v>
      </c>
      <c r="I151">
        <v>315.33999999999997</v>
      </c>
      <c r="J151">
        <v>0.2</v>
      </c>
      <c r="K151" t="s">
        <v>23</v>
      </c>
      <c r="L151">
        <v>254.68</v>
      </c>
      <c r="M151">
        <f t="shared" si="6"/>
        <v>2522.7199999999998</v>
      </c>
      <c r="N151">
        <f t="shared" si="7"/>
        <v>2268.04</v>
      </c>
      <c r="O151" t="str">
        <f t="shared" si="8"/>
        <v>South</v>
      </c>
    </row>
    <row r="152" spans="1:15" x14ac:dyDescent="0.3">
      <c r="A152" t="s">
        <v>211</v>
      </c>
      <c r="B152" s="1">
        <v>45833</v>
      </c>
      <c r="C152" t="s">
        <v>37</v>
      </c>
      <c r="D152" t="s">
        <v>61</v>
      </c>
      <c r="E152" t="s">
        <v>34</v>
      </c>
      <c r="F152" t="s">
        <v>21</v>
      </c>
      <c r="G152" t="s">
        <v>40</v>
      </c>
      <c r="H152">
        <v>1</v>
      </c>
      <c r="I152">
        <v>75.12</v>
      </c>
      <c r="J152">
        <v>0.15</v>
      </c>
      <c r="K152" t="s">
        <v>44</v>
      </c>
      <c r="L152">
        <v>43.42</v>
      </c>
      <c r="M152">
        <f t="shared" si="6"/>
        <v>63.852000000000004</v>
      </c>
      <c r="N152">
        <f t="shared" si="7"/>
        <v>20.432000000000002</v>
      </c>
      <c r="O152" t="str">
        <f t="shared" si="8"/>
        <v>South</v>
      </c>
    </row>
    <row r="153" spans="1:15" x14ac:dyDescent="0.3">
      <c r="A153" t="s">
        <v>212</v>
      </c>
      <c r="B153" s="1">
        <v>45844</v>
      </c>
      <c r="C153" t="s">
        <v>32</v>
      </c>
      <c r="D153" t="s">
        <v>61</v>
      </c>
      <c r="E153" t="s">
        <v>34</v>
      </c>
      <c r="F153" t="s">
        <v>35</v>
      </c>
      <c r="G153" t="s">
        <v>65</v>
      </c>
      <c r="H153">
        <v>9</v>
      </c>
      <c r="I153">
        <v>119.19</v>
      </c>
      <c r="J153">
        <v>0.2</v>
      </c>
      <c r="K153" t="s">
        <v>18</v>
      </c>
      <c r="L153">
        <v>85.18</v>
      </c>
      <c r="M153">
        <f t="shared" si="6"/>
        <v>858.16800000000012</v>
      </c>
      <c r="N153">
        <f t="shared" si="7"/>
        <v>772.98800000000006</v>
      </c>
      <c r="O153" t="str">
        <f t="shared" si="8"/>
        <v>East</v>
      </c>
    </row>
    <row r="154" spans="1:15" x14ac:dyDescent="0.3">
      <c r="A154" t="s">
        <v>213</v>
      </c>
      <c r="B154" s="1">
        <v>45706</v>
      </c>
      <c r="C154" t="s">
        <v>13</v>
      </c>
      <c r="D154" t="s">
        <v>39</v>
      </c>
      <c r="E154" t="s">
        <v>27</v>
      </c>
      <c r="F154" t="s">
        <v>28</v>
      </c>
      <c r="G154" t="s">
        <v>29</v>
      </c>
      <c r="H154">
        <v>1</v>
      </c>
      <c r="I154">
        <v>276.14999999999998</v>
      </c>
      <c r="J154">
        <v>0.1</v>
      </c>
      <c r="K154" t="s">
        <v>30</v>
      </c>
      <c r="L154">
        <v>156.80000000000001</v>
      </c>
      <c r="M154">
        <f t="shared" si="6"/>
        <v>248.535</v>
      </c>
      <c r="N154">
        <f t="shared" si="7"/>
        <v>91.734999999999985</v>
      </c>
      <c r="O154" t="str">
        <f t="shared" si="8"/>
        <v>West</v>
      </c>
    </row>
    <row r="155" spans="1:15" x14ac:dyDescent="0.3">
      <c r="A155" t="s">
        <v>214</v>
      </c>
      <c r="B155" s="1">
        <v>45730</v>
      </c>
      <c r="C155" t="s">
        <v>32</v>
      </c>
      <c r="D155" t="s">
        <v>64</v>
      </c>
      <c r="E155" t="s">
        <v>34</v>
      </c>
      <c r="F155" t="s">
        <v>35</v>
      </c>
      <c r="G155" t="s">
        <v>22</v>
      </c>
      <c r="H155">
        <v>6</v>
      </c>
      <c r="I155">
        <v>135.43</v>
      </c>
      <c r="J155">
        <v>0</v>
      </c>
      <c r="K155" t="s">
        <v>18</v>
      </c>
      <c r="L155">
        <v>95.8</v>
      </c>
      <c r="M155">
        <f t="shared" si="6"/>
        <v>812.58</v>
      </c>
      <c r="N155">
        <f t="shared" si="7"/>
        <v>716.78000000000009</v>
      </c>
      <c r="O155" t="str">
        <f t="shared" si="8"/>
        <v>East</v>
      </c>
    </row>
    <row r="156" spans="1:15" x14ac:dyDescent="0.3">
      <c r="A156" t="s">
        <v>215</v>
      </c>
      <c r="B156" s="1">
        <v>45987</v>
      </c>
      <c r="C156" t="s">
        <v>67</v>
      </c>
      <c r="D156" t="s">
        <v>33</v>
      </c>
      <c r="E156" t="s">
        <v>34</v>
      </c>
      <c r="F156" t="s">
        <v>21</v>
      </c>
      <c r="G156" t="s">
        <v>22</v>
      </c>
      <c r="H156">
        <v>2</v>
      </c>
      <c r="I156">
        <v>123.31</v>
      </c>
      <c r="J156">
        <v>0.1</v>
      </c>
      <c r="K156" t="s">
        <v>23</v>
      </c>
      <c r="L156">
        <v>86.43</v>
      </c>
      <c r="M156">
        <f t="shared" si="6"/>
        <v>221.958</v>
      </c>
      <c r="N156">
        <f t="shared" si="7"/>
        <v>135.52799999999999</v>
      </c>
      <c r="O156" t="str">
        <f t="shared" si="8"/>
        <v>South</v>
      </c>
    </row>
    <row r="157" spans="1:15" x14ac:dyDescent="0.3">
      <c r="A157" t="s">
        <v>216</v>
      </c>
      <c r="B157" s="1">
        <v>45843</v>
      </c>
      <c r="C157" t="s">
        <v>79</v>
      </c>
      <c r="D157" t="s">
        <v>14</v>
      </c>
      <c r="E157" t="s">
        <v>15</v>
      </c>
      <c r="F157" t="s">
        <v>21</v>
      </c>
      <c r="G157" t="s">
        <v>49</v>
      </c>
      <c r="H157">
        <v>7</v>
      </c>
      <c r="I157">
        <v>558.41</v>
      </c>
      <c r="J157">
        <v>0.2</v>
      </c>
      <c r="K157" t="s">
        <v>30</v>
      </c>
      <c r="L157">
        <v>361.68</v>
      </c>
      <c r="M157">
        <f t="shared" si="6"/>
        <v>3127.096</v>
      </c>
      <c r="N157">
        <f t="shared" si="7"/>
        <v>2765.4160000000002</v>
      </c>
      <c r="O157" t="str">
        <f t="shared" si="8"/>
        <v>South</v>
      </c>
    </row>
    <row r="158" spans="1:15" x14ac:dyDescent="0.3">
      <c r="A158" t="s">
        <v>217</v>
      </c>
      <c r="B158" s="1">
        <v>45709</v>
      </c>
      <c r="C158" t="s">
        <v>52</v>
      </c>
      <c r="D158" t="s">
        <v>61</v>
      </c>
      <c r="E158" t="s">
        <v>34</v>
      </c>
      <c r="F158" t="s">
        <v>16</v>
      </c>
      <c r="G158" t="s">
        <v>22</v>
      </c>
      <c r="H158">
        <v>3</v>
      </c>
      <c r="I158">
        <v>47.28</v>
      </c>
      <c r="J158">
        <v>0.05</v>
      </c>
      <c r="K158" t="s">
        <v>30</v>
      </c>
      <c r="L158">
        <v>26.99</v>
      </c>
      <c r="M158">
        <f t="shared" si="6"/>
        <v>134.74799999999999</v>
      </c>
      <c r="N158">
        <f t="shared" si="7"/>
        <v>107.758</v>
      </c>
      <c r="O158" t="str">
        <f t="shared" si="8"/>
        <v>North</v>
      </c>
    </row>
    <row r="159" spans="1:15" x14ac:dyDescent="0.3">
      <c r="A159" t="s">
        <v>218</v>
      </c>
      <c r="B159" s="1">
        <v>46012</v>
      </c>
      <c r="C159" t="s">
        <v>104</v>
      </c>
      <c r="D159" t="s">
        <v>64</v>
      </c>
      <c r="E159" t="s">
        <v>34</v>
      </c>
      <c r="F159" t="s">
        <v>21</v>
      </c>
      <c r="G159" t="s">
        <v>22</v>
      </c>
      <c r="H159">
        <v>7</v>
      </c>
      <c r="I159">
        <v>50.07</v>
      </c>
      <c r="J159">
        <v>0.05</v>
      </c>
      <c r="K159" t="s">
        <v>18</v>
      </c>
      <c r="L159">
        <v>29.73</v>
      </c>
      <c r="M159">
        <f t="shared" si="6"/>
        <v>332.96550000000002</v>
      </c>
      <c r="N159">
        <f t="shared" si="7"/>
        <v>303.2355</v>
      </c>
      <c r="O159" t="str">
        <f t="shared" si="8"/>
        <v>South</v>
      </c>
    </row>
    <row r="160" spans="1:15" x14ac:dyDescent="0.3">
      <c r="A160" t="s">
        <v>219</v>
      </c>
      <c r="B160" s="1">
        <v>45887</v>
      </c>
      <c r="C160" t="s">
        <v>69</v>
      </c>
      <c r="D160" t="s">
        <v>20</v>
      </c>
      <c r="E160" t="s">
        <v>15</v>
      </c>
      <c r="F160" t="s">
        <v>21</v>
      </c>
      <c r="G160" t="s">
        <v>29</v>
      </c>
      <c r="H160">
        <v>4</v>
      </c>
      <c r="I160">
        <v>752.71</v>
      </c>
      <c r="J160">
        <v>0.15</v>
      </c>
      <c r="K160" t="s">
        <v>18</v>
      </c>
      <c r="L160">
        <v>538.08000000000004</v>
      </c>
      <c r="M160">
        <f t="shared" si="6"/>
        <v>2559.2139999999999</v>
      </c>
      <c r="N160">
        <f t="shared" si="7"/>
        <v>2021.134</v>
      </c>
      <c r="O160" t="str">
        <f t="shared" si="8"/>
        <v>South</v>
      </c>
    </row>
    <row r="161" spans="1:15" x14ac:dyDescent="0.3">
      <c r="A161" t="s">
        <v>220</v>
      </c>
      <c r="B161" s="1">
        <v>45802</v>
      </c>
      <c r="C161" t="s">
        <v>55</v>
      </c>
      <c r="D161" t="s">
        <v>70</v>
      </c>
      <c r="E161" t="s">
        <v>34</v>
      </c>
      <c r="F161" t="s">
        <v>28</v>
      </c>
      <c r="G161" t="s">
        <v>49</v>
      </c>
      <c r="H161">
        <v>10</v>
      </c>
      <c r="I161">
        <v>52.59</v>
      </c>
      <c r="J161">
        <v>0.15</v>
      </c>
      <c r="K161" t="s">
        <v>44</v>
      </c>
      <c r="L161">
        <v>35.479999999999997</v>
      </c>
      <c r="M161">
        <f t="shared" si="6"/>
        <v>447.01500000000004</v>
      </c>
      <c r="N161">
        <f t="shared" si="7"/>
        <v>411.53500000000003</v>
      </c>
      <c r="O161" t="str">
        <f t="shared" si="8"/>
        <v>West</v>
      </c>
    </row>
    <row r="162" spans="1:15" x14ac:dyDescent="0.3">
      <c r="A162" t="s">
        <v>221</v>
      </c>
      <c r="B162" s="1">
        <v>45848</v>
      </c>
      <c r="C162" t="s">
        <v>13</v>
      </c>
      <c r="D162" t="s">
        <v>64</v>
      </c>
      <c r="E162" t="s">
        <v>34</v>
      </c>
      <c r="F162" t="s">
        <v>16</v>
      </c>
      <c r="G162" t="s">
        <v>22</v>
      </c>
      <c r="H162">
        <v>5</v>
      </c>
      <c r="I162">
        <v>50.92</v>
      </c>
      <c r="J162">
        <v>0</v>
      </c>
      <c r="K162" t="s">
        <v>23</v>
      </c>
      <c r="L162">
        <v>36.82</v>
      </c>
      <c r="M162">
        <f t="shared" si="6"/>
        <v>254.60000000000002</v>
      </c>
      <c r="N162">
        <f t="shared" si="7"/>
        <v>217.78000000000003</v>
      </c>
      <c r="O162" t="str">
        <f t="shared" si="8"/>
        <v>North</v>
      </c>
    </row>
    <row r="163" spans="1:15" x14ac:dyDescent="0.3">
      <c r="A163" t="s">
        <v>222</v>
      </c>
      <c r="B163" s="1">
        <v>45920</v>
      </c>
      <c r="C163" t="s">
        <v>92</v>
      </c>
      <c r="D163" t="s">
        <v>14</v>
      </c>
      <c r="E163" t="s">
        <v>15</v>
      </c>
      <c r="F163" t="s">
        <v>28</v>
      </c>
      <c r="G163" t="s">
        <v>40</v>
      </c>
      <c r="H163">
        <v>3</v>
      </c>
      <c r="I163">
        <v>414.03</v>
      </c>
      <c r="J163">
        <v>0.1</v>
      </c>
      <c r="K163" t="s">
        <v>44</v>
      </c>
      <c r="L163">
        <v>277.95</v>
      </c>
      <c r="M163">
        <f t="shared" si="6"/>
        <v>1117.8809999999999</v>
      </c>
      <c r="N163">
        <f t="shared" si="7"/>
        <v>839.93099999999981</v>
      </c>
      <c r="O163" t="str">
        <f t="shared" si="8"/>
        <v>West</v>
      </c>
    </row>
    <row r="164" spans="1:15" x14ac:dyDescent="0.3">
      <c r="A164" t="s">
        <v>223</v>
      </c>
      <c r="B164" s="1">
        <v>45915</v>
      </c>
      <c r="C164" t="s">
        <v>32</v>
      </c>
      <c r="D164" t="s">
        <v>61</v>
      </c>
      <c r="E164" t="s">
        <v>34</v>
      </c>
      <c r="F164" t="s">
        <v>21</v>
      </c>
      <c r="G164" t="s">
        <v>65</v>
      </c>
      <c r="H164">
        <v>1</v>
      </c>
      <c r="I164">
        <v>109.62</v>
      </c>
      <c r="J164">
        <v>0.15</v>
      </c>
      <c r="K164" t="s">
        <v>53</v>
      </c>
      <c r="L164">
        <v>61.87</v>
      </c>
      <c r="M164">
        <f t="shared" si="6"/>
        <v>93.177000000000007</v>
      </c>
      <c r="N164">
        <f t="shared" si="7"/>
        <v>31.307000000000009</v>
      </c>
      <c r="O164" t="str">
        <f t="shared" si="8"/>
        <v>South</v>
      </c>
    </row>
    <row r="165" spans="1:15" x14ac:dyDescent="0.3">
      <c r="A165" t="s">
        <v>224</v>
      </c>
      <c r="B165" s="1">
        <v>45990</v>
      </c>
      <c r="C165" t="s">
        <v>67</v>
      </c>
      <c r="D165" t="s">
        <v>39</v>
      </c>
      <c r="E165" t="s">
        <v>27</v>
      </c>
      <c r="F165" t="s">
        <v>21</v>
      </c>
      <c r="G165" t="s">
        <v>49</v>
      </c>
      <c r="H165">
        <v>6</v>
      </c>
      <c r="I165">
        <v>171.64</v>
      </c>
      <c r="J165">
        <v>0</v>
      </c>
      <c r="K165" t="s">
        <v>53</v>
      </c>
      <c r="L165">
        <v>133.29</v>
      </c>
      <c r="M165">
        <f t="shared" si="6"/>
        <v>1029.8399999999999</v>
      </c>
      <c r="N165">
        <f t="shared" si="7"/>
        <v>896.55</v>
      </c>
      <c r="O165" t="str">
        <f t="shared" si="8"/>
        <v>South</v>
      </c>
    </row>
    <row r="166" spans="1:15" x14ac:dyDescent="0.3">
      <c r="A166" t="s">
        <v>225</v>
      </c>
      <c r="B166" s="1">
        <v>45898</v>
      </c>
      <c r="C166" t="s">
        <v>73</v>
      </c>
      <c r="D166" t="s">
        <v>43</v>
      </c>
      <c r="E166" t="s">
        <v>15</v>
      </c>
      <c r="F166" t="s">
        <v>16</v>
      </c>
      <c r="G166" t="s">
        <v>40</v>
      </c>
      <c r="H166">
        <v>8</v>
      </c>
      <c r="I166">
        <v>379.35</v>
      </c>
      <c r="J166">
        <v>0.05</v>
      </c>
      <c r="K166" t="s">
        <v>53</v>
      </c>
      <c r="L166">
        <v>286.37</v>
      </c>
      <c r="M166">
        <f t="shared" si="6"/>
        <v>2883.06</v>
      </c>
      <c r="N166">
        <f t="shared" si="7"/>
        <v>2596.69</v>
      </c>
      <c r="O166" t="str">
        <f t="shared" si="8"/>
        <v>North</v>
      </c>
    </row>
    <row r="167" spans="1:15" x14ac:dyDescent="0.3">
      <c r="A167" t="s">
        <v>226</v>
      </c>
      <c r="B167" s="1">
        <v>45969</v>
      </c>
      <c r="C167" t="s">
        <v>52</v>
      </c>
      <c r="D167" t="s">
        <v>43</v>
      </c>
      <c r="E167" t="s">
        <v>15</v>
      </c>
      <c r="F167" t="s">
        <v>28</v>
      </c>
      <c r="G167" t="s">
        <v>40</v>
      </c>
      <c r="H167">
        <v>3</v>
      </c>
      <c r="I167">
        <v>203.91</v>
      </c>
      <c r="J167">
        <v>0.2</v>
      </c>
      <c r="K167" t="s">
        <v>30</v>
      </c>
      <c r="L167">
        <v>163.92</v>
      </c>
      <c r="M167">
        <f t="shared" si="6"/>
        <v>489.38400000000001</v>
      </c>
      <c r="N167">
        <f t="shared" si="7"/>
        <v>325.46400000000006</v>
      </c>
      <c r="O167" t="str">
        <f t="shared" si="8"/>
        <v>West</v>
      </c>
    </row>
    <row r="168" spans="1:15" x14ac:dyDescent="0.3">
      <c r="A168" t="s">
        <v>227</v>
      </c>
      <c r="B168" s="1">
        <v>45976</v>
      </c>
      <c r="C168" t="s">
        <v>73</v>
      </c>
      <c r="D168" t="s">
        <v>70</v>
      </c>
      <c r="E168" t="s">
        <v>34</v>
      </c>
      <c r="F168" t="s">
        <v>16</v>
      </c>
      <c r="G168" t="s">
        <v>40</v>
      </c>
      <c r="H168">
        <v>1</v>
      </c>
      <c r="I168">
        <v>47.59</v>
      </c>
      <c r="J168">
        <v>0.05</v>
      </c>
      <c r="K168" t="s">
        <v>18</v>
      </c>
      <c r="L168">
        <v>31.57</v>
      </c>
      <c r="M168">
        <f t="shared" si="6"/>
        <v>45.210500000000003</v>
      </c>
      <c r="N168">
        <f t="shared" si="7"/>
        <v>13.640500000000003</v>
      </c>
      <c r="O168" t="str">
        <f t="shared" si="8"/>
        <v>North</v>
      </c>
    </row>
    <row r="169" spans="1:15" x14ac:dyDescent="0.3">
      <c r="A169" t="s">
        <v>228</v>
      </c>
      <c r="B169" s="1">
        <v>45731</v>
      </c>
      <c r="C169" t="s">
        <v>79</v>
      </c>
      <c r="D169" t="s">
        <v>64</v>
      </c>
      <c r="E169" t="s">
        <v>34</v>
      </c>
      <c r="F169" t="s">
        <v>28</v>
      </c>
      <c r="G169" t="s">
        <v>40</v>
      </c>
      <c r="H169">
        <v>9</v>
      </c>
      <c r="I169">
        <v>96.65</v>
      </c>
      <c r="J169">
        <v>0.2</v>
      </c>
      <c r="K169" t="s">
        <v>23</v>
      </c>
      <c r="L169">
        <v>59.47</v>
      </c>
      <c r="M169">
        <f t="shared" si="6"/>
        <v>695.88000000000011</v>
      </c>
      <c r="N169">
        <f t="shared" si="7"/>
        <v>636.41000000000008</v>
      </c>
      <c r="O169" t="str">
        <f t="shared" si="8"/>
        <v>West</v>
      </c>
    </row>
    <row r="170" spans="1:15" x14ac:dyDescent="0.3">
      <c r="A170" t="s">
        <v>229</v>
      </c>
      <c r="B170" s="1">
        <v>45701</v>
      </c>
      <c r="C170" t="s">
        <v>52</v>
      </c>
      <c r="D170" t="s">
        <v>39</v>
      </c>
      <c r="E170" t="s">
        <v>27</v>
      </c>
      <c r="F170" t="s">
        <v>35</v>
      </c>
      <c r="G170" t="s">
        <v>40</v>
      </c>
      <c r="H170">
        <v>7</v>
      </c>
      <c r="I170">
        <v>175.33</v>
      </c>
      <c r="J170">
        <v>0.05</v>
      </c>
      <c r="K170" t="s">
        <v>23</v>
      </c>
      <c r="L170">
        <v>127.88</v>
      </c>
      <c r="M170">
        <f t="shared" si="6"/>
        <v>1165.9445000000001</v>
      </c>
      <c r="N170">
        <f t="shared" si="7"/>
        <v>1038.0645</v>
      </c>
      <c r="O170" t="str">
        <f t="shared" si="8"/>
        <v>East</v>
      </c>
    </row>
    <row r="171" spans="1:15" x14ac:dyDescent="0.3">
      <c r="A171" t="s">
        <v>230</v>
      </c>
      <c r="B171" s="1">
        <v>45898</v>
      </c>
      <c r="C171" t="s">
        <v>125</v>
      </c>
      <c r="D171" t="s">
        <v>46</v>
      </c>
      <c r="E171" t="s">
        <v>15</v>
      </c>
      <c r="F171" t="s">
        <v>28</v>
      </c>
      <c r="G171" t="s">
        <v>29</v>
      </c>
      <c r="H171">
        <v>9</v>
      </c>
      <c r="I171">
        <v>352.2</v>
      </c>
      <c r="J171">
        <v>0.2</v>
      </c>
      <c r="K171" t="s">
        <v>30</v>
      </c>
      <c r="L171">
        <v>195.64</v>
      </c>
      <c r="M171">
        <f t="shared" si="6"/>
        <v>2535.84</v>
      </c>
      <c r="N171">
        <f t="shared" si="7"/>
        <v>2340.2000000000003</v>
      </c>
      <c r="O171" t="str">
        <f t="shared" si="8"/>
        <v>West</v>
      </c>
    </row>
    <row r="172" spans="1:15" x14ac:dyDescent="0.3">
      <c r="A172" t="s">
        <v>231</v>
      </c>
      <c r="B172" s="1">
        <v>45994</v>
      </c>
      <c r="C172" t="s">
        <v>76</v>
      </c>
      <c r="D172" t="s">
        <v>20</v>
      </c>
      <c r="E172" t="s">
        <v>15</v>
      </c>
      <c r="F172" t="s">
        <v>35</v>
      </c>
      <c r="G172" t="s">
        <v>49</v>
      </c>
      <c r="H172">
        <v>2</v>
      </c>
      <c r="I172">
        <v>739.27</v>
      </c>
      <c r="J172">
        <v>0.1</v>
      </c>
      <c r="K172" t="s">
        <v>53</v>
      </c>
      <c r="L172">
        <v>454.73</v>
      </c>
      <c r="M172">
        <f t="shared" si="6"/>
        <v>1330.6859999999999</v>
      </c>
      <c r="N172">
        <f t="shared" si="7"/>
        <v>875.9559999999999</v>
      </c>
      <c r="O172" t="str">
        <f t="shared" si="8"/>
        <v>East</v>
      </c>
    </row>
    <row r="173" spans="1:15" x14ac:dyDescent="0.3">
      <c r="A173" t="s">
        <v>232</v>
      </c>
      <c r="B173" s="1">
        <v>45903</v>
      </c>
      <c r="C173" t="s">
        <v>25</v>
      </c>
      <c r="D173" t="s">
        <v>39</v>
      </c>
      <c r="E173" t="s">
        <v>27</v>
      </c>
      <c r="F173" t="s">
        <v>21</v>
      </c>
      <c r="G173" t="s">
        <v>40</v>
      </c>
      <c r="H173">
        <v>3</v>
      </c>
      <c r="I173">
        <v>245.58</v>
      </c>
      <c r="J173">
        <v>0.15</v>
      </c>
      <c r="K173" t="s">
        <v>18</v>
      </c>
      <c r="L173">
        <v>200.1</v>
      </c>
      <c r="M173">
        <f t="shared" si="6"/>
        <v>626.22900000000004</v>
      </c>
      <c r="N173">
        <f t="shared" si="7"/>
        <v>426.12900000000002</v>
      </c>
      <c r="O173" t="str">
        <f t="shared" si="8"/>
        <v>South</v>
      </c>
    </row>
    <row r="174" spans="1:15" x14ac:dyDescent="0.3">
      <c r="A174" t="s">
        <v>233</v>
      </c>
      <c r="B174" s="1">
        <v>45819</v>
      </c>
      <c r="C174" t="s">
        <v>79</v>
      </c>
      <c r="D174" t="s">
        <v>20</v>
      </c>
      <c r="E174" t="s">
        <v>15</v>
      </c>
      <c r="F174" t="s">
        <v>28</v>
      </c>
      <c r="G174" t="s">
        <v>17</v>
      </c>
      <c r="H174">
        <v>1</v>
      </c>
      <c r="I174">
        <v>723.36</v>
      </c>
      <c r="J174">
        <v>0.05</v>
      </c>
      <c r="K174" t="s">
        <v>18</v>
      </c>
      <c r="L174">
        <v>570.85</v>
      </c>
      <c r="M174">
        <f t="shared" si="6"/>
        <v>687.19200000000001</v>
      </c>
      <c r="N174">
        <f t="shared" si="7"/>
        <v>116.34199999999998</v>
      </c>
      <c r="O174" t="str">
        <f t="shared" si="8"/>
        <v>West</v>
      </c>
    </row>
    <row r="175" spans="1:15" x14ac:dyDescent="0.3">
      <c r="A175" t="s">
        <v>234</v>
      </c>
      <c r="B175" s="1">
        <v>45682</v>
      </c>
      <c r="C175" t="s">
        <v>67</v>
      </c>
      <c r="D175" t="s">
        <v>43</v>
      </c>
      <c r="E175" t="s">
        <v>15</v>
      </c>
      <c r="F175" t="s">
        <v>35</v>
      </c>
      <c r="G175" t="s">
        <v>40</v>
      </c>
      <c r="H175">
        <v>4</v>
      </c>
      <c r="I175">
        <v>159.16</v>
      </c>
      <c r="J175">
        <v>0.1</v>
      </c>
      <c r="K175" t="s">
        <v>30</v>
      </c>
      <c r="L175">
        <v>102.88</v>
      </c>
      <c r="M175">
        <f t="shared" si="6"/>
        <v>572.976</v>
      </c>
      <c r="N175">
        <f t="shared" si="7"/>
        <v>470.096</v>
      </c>
      <c r="O175" t="str">
        <f t="shared" si="8"/>
        <v>East</v>
      </c>
    </row>
    <row r="176" spans="1:15" x14ac:dyDescent="0.3">
      <c r="A176" t="s">
        <v>235</v>
      </c>
      <c r="B176" s="1">
        <v>45753</v>
      </c>
      <c r="C176" t="s">
        <v>108</v>
      </c>
      <c r="D176" t="s">
        <v>26</v>
      </c>
      <c r="E176" t="s">
        <v>27</v>
      </c>
      <c r="F176" t="s">
        <v>28</v>
      </c>
      <c r="G176" t="s">
        <v>29</v>
      </c>
      <c r="H176">
        <v>8</v>
      </c>
      <c r="I176">
        <v>277.89999999999998</v>
      </c>
      <c r="J176">
        <v>0.15</v>
      </c>
      <c r="K176" t="s">
        <v>23</v>
      </c>
      <c r="L176">
        <v>178.28</v>
      </c>
      <c r="M176">
        <f t="shared" si="6"/>
        <v>1889.7199999999998</v>
      </c>
      <c r="N176">
        <f t="shared" si="7"/>
        <v>1711.4399999999998</v>
      </c>
      <c r="O176" t="str">
        <f t="shared" si="8"/>
        <v>West</v>
      </c>
    </row>
    <row r="177" spans="1:15" x14ac:dyDescent="0.3">
      <c r="A177" t="s">
        <v>236</v>
      </c>
      <c r="B177" s="1">
        <v>45750</v>
      </c>
      <c r="C177" t="s">
        <v>13</v>
      </c>
      <c r="D177" t="s">
        <v>43</v>
      </c>
      <c r="E177" t="s">
        <v>15</v>
      </c>
      <c r="F177" t="s">
        <v>35</v>
      </c>
      <c r="G177" t="s">
        <v>29</v>
      </c>
      <c r="H177">
        <v>7</v>
      </c>
      <c r="I177">
        <v>350.29</v>
      </c>
      <c r="J177">
        <v>0</v>
      </c>
      <c r="K177" t="s">
        <v>53</v>
      </c>
      <c r="L177">
        <v>233.39</v>
      </c>
      <c r="M177">
        <f t="shared" si="6"/>
        <v>2452.0300000000002</v>
      </c>
      <c r="N177">
        <f t="shared" si="7"/>
        <v>2218.6400000000003</v>
      </c>
      <c r="O177" t="str">
        <f t="shared" si="8"/>
        <v>East</v>
      </c>
    </row>
    <row r="178" spans="1:15" x14ac:dyDescent="0.3">
      <c r="A178" t="s">
        <v>237</v>
      </c>
      <c r="B178" s="1">
        <v>45876</v>
      </c>
      <c r="C178" t="s">
        <v>25</v>
      </c>
      <c r="D178" t="s">
        <v>14</v>
      </c>
      <c r="E178" t="s">
        <v>15</v>
      </c>
      <c r="F178" t="s">
        <v>28</v>
      </c>
      <c r="G178" t="s">
        <v>29</v>
      </c>
      <c r="H178">
        <v>5</v>
      </c>
      <c r="I178">
        <v>431.17</v>
      </c>
      <c r="J178">
        <v>0.1</v>
      </c>
      <c r="K178" t="s">
        <v>18</v>
      </c>
      <c r="L178">
        <v>289.06</v>
      </c>
      <c r="M178">
        <f t="shared" si="6"/>
        <v>1940.2649999999999</v>
      </c>
      <c r="N178">
        <f t="shared" si="7"/>
        <v>1651.2049999999999</v>
      </c>
      <c r="O178" t="str">
        <f t="shared" si="8"/>
        <v>West</v>
      </c>
    </row>
    <row r="179" spans="1:15" x14ac:dyDescent="0.3">
      <c r="A179" t="s">
        <v>238</v>
      </c>
      <c r="B179" s="1">
        <v>45798</v>
      </c>
      <c r="C179" t="s">
        <v>125</v>
      </c>
      <c r="D179" t="s">
        <v>20</v>
      </c>
      <c r="E179" t="s">
        <v>15</v>
      </c>
      <c r="F179" t="s">
        <v>16</v>
      </c>
      <c r="G179" t="s">
        <v>22</v>
      </c>
      <c r="H179">
        <v>6</v>
      </c>
      <c r="I179">
        <v>831.7</v>
      </c>
      <c r="J179">
        <v>0.2</v>
      </c>
      <c r="K179" t="s">
        <v>18</v>
      </c>
      <c r="L179">
        <v>681.58</v>
      </c>
      <c r="M179">
        <f t="shared" si="6"/>
        <v>3992.1600000000008</v>
      </c>
      <c r="N179">
        <f t="shared" si="7"/>
        <v>3310.5800000000008</v>
      </c>
      <c r="O179" t="str">
        <f t="shared" si="8"/>
        <v>North</v>
      </c>
    </row>
    <row r="180" spans="1:15" x14ac:dyDescent="0.3">
      <c r="A180" t="s">
        <v>239</v>
      </c>
      <c r="B180" s="1">
        <v>45969</v>
      </c>
      <c r="C180" t="s">
        <v>73</v>
      </c>
      <c r="D180" t="s">
        <v>39</v>
      </c>
      <c r="E180" t="s">
        <v>27</v>
      </c>
      <c r="F180" t="s">
        <v>16</v>
      </c>
      <c r="G180" t="s">
        <v>49</v>
      </c>
      <c r="H180">
        <v>3</v>
      </c>
      <c r="I180">
        <v>238.01</v>
      </c>
      <c r="J180">
        <v>0</v>
      </c>
      <c r="K180" t="s">
        <v>53</v>
      </c>
      <c r="L180">
        <v>140.08000000000001</v>
      </c>
      <c r="M180">
        <f t="shared" si="6"/>
        <v>714.03</v>
      </c>
      <c r="N180">
        <f t="shared" si="7"/>
        <v>573.94999999999993</v>
      </c>
      <c r="O180" t="str">
        <f t="shared" si="8"/>
        <v>North</v>
      </c>
    </row>
    <row r="181" spans="1:15" x14ac:dyDescent="0.3">
      <c r="A181" t="s">
        <v>240</v>
      </c>
      <c r="B181" s="1">
        <v>45948</v>
      </c>
      <c r="C181" t="s">
        <v>125</v>
      </c>
      <c r="D181" t="s">
        <v>70</v>
      </c>
      <c r="E181" t="s">
        <v>34</v>
      </c>
      <c r="F181" t="s">
        <v>21</v>
      </c>
      <c r="G181" t="s">
        <v>22</v>
      </c>
      <c r="H181">
        <v>6</v>
      </c>
      <c r="I181">
        <v>83.39</v>
      </c>
      <c r="J181">
        <v>0.1</v>
      </c>
      <c r="K181" t="s">
        <v>18</v>
      </c>
      <c r="L181">
        <v>54.48</v>
      </c>
      <c r="M181">
        <f t="shared" si="6"/>
        <v>450.30600000000004</v>
      </c>
      <c r="N181">
        <f t="shared" si="7"/>
        <v>395.82600000000002</v>
      </c>
      <c r="O181" t="str">
        <f t="shared" si="8"/>
        <v>South</v>
      </c>
    </row>
    <row r="182" spans="1:15" x14ac:dyDescent="0.3">
      <c r="A182" t="s">
        <v>241</v>
      </c>
      <c r="B182" s="1">
        <v>45845</v>
      </c>
      <c r="C182" t="s">
        <v>55</v>
      </c>
      <c r="D182" t="s">
        <v>39</v>
      </c>
      <c r="E182" t="s">
        <v>27</v>
      </c>
      <c r="F182" t="s">
        <v>35</v>
      </c>
      <c r="G182" t="s">
        <v>22</v>
      </c>
      <c r="H182">
        <v>2</v>
      </c>
      <c r="I182">
        <v>205.56</v>
      </c>
      <c r="J182">
        <v>0.2</v>
      </c>
      <c r="K182" t="s">
        <v>30</v>
      </c>
      <c r="L182">
        <v>120.7</v>
      </c>
      <c r="M182">
        <f t="shared" si="6"/>
        <v>328.89600000000002</v>
      </c>
      <c r="N182">
        <f t="shared" si="7"/>
        <v>208.19600000000003</v>
      </c>
      <c r="O182" t="str">
        <f t="shared" si="8"/>
        <v>East</v>
      </c>
    </row>
    <row r="183" spans="1:15" x14ac:dyDescent="0.3">
      <c r="A183" t="s">
        <v>242</v>
      </c>
      <c r="B183" s="1">
        <v>45856</v>
      </c>
      <c r="C183" t="s">
        <v>13</v>
      </c>
      <c r="D183" t="s">
        <v>70</v>
      </c>
      <c r="E183" t="s">
        <v>34</v>
      </c>
      <c r="F183" t="s">
        <v>16</v>
      </c>
      <c r="G183" t="s">
        <v>29</v>
      </c>
      <c r="H183">
        <v>1</v>
      </c>
      <c r="I183">
        <v>97.04</v>
      </c>
      <c r="J183">
        <v>0.05</v>
      </c>
      <c r="K183" t="s">
        <v>30</v>
      </c>
      <c r="L183">
        <v>66.45</v>
      </c>
      <c r="M183">
        <f t="shared" si="6"/>
        <v>92.188000000000002</v>
      </c>
      <c r="N183">
        <f t="shared" si="7"/>
        <v>25.738</v>
      </c>
      <c r="O183" t="str">
        <f t="shared" si="8"/>
        <v>North</v>
      </c>
    </row>
    <row r="184" spans="1:15" x14ac:dyDescent="0.3">
      <c r="A184" t="s">
        <v>243</v>
      </c>
      <c r="B184" s="1">
        <v>45909</v>
      </c>
      <c r="C184" t="s">
        <v>48</v>
      </c>
      <c r="D184" t="s">
        <v>61</v>
      </c>
      <c r="E184" t="s">
        <v>34</v>
      </c>
      <c r="F184" t="s">
        <v>16</v>
      </c>
      <c r="G184" t="s">
        <v>49</v>
      </c>
      <c r="H184">
        <v>10</v>
      </c>
      <c r="I184">
        <v>49.31</v>
      </c>
      <c r="J184">
        <v>0.1</v>
      </c>
      <c r="K184" t="s">
        <v>53</v>
      </c>
      <c r="L184">
        <v>36.36</v>
      </c>
      <c r="M184">
        <f t="shared" si="6"/>
        <v>443.79</v>
      </c>
      <c r="N184">
        <f t="shared" si="7"/>
        <v>407.43</v>
      </c>
      <c r="O184" t="str">
        <f t="shared" si="8"/>
        <v>North</v>
      </c>
    </row>
    <row r="185" spans="1:15" x14ac:dyDescent="0.3">
      <c r="A185" t="s">
        <v>244</v>
      </c>
      <c r="B185" s="1">
        <v>45821</v>
      </c>
      <c r="C185" t="s">
        <v>32</v>
      </c>
      <c r="D185" t="s">
        <v>61</v>
      </c>
      <c r="E185" t="s">
        <v>34</v>
      </c>
      <c r="F185" t="s">
        <v>16</v>
      </c>
      <c r="G185" t="s">
        <v>17</v>
      </c>
      <c r="H185">
        <v>8</v>
      </c>
      <c r="I185">
        <v>45.54</v>
      </c>
      <c r="J185">
        <v>0</v>
      </c>
      <c r="K185" t="s">
        <v>23</v>
      </c>
      <c r="L185">
        <v>35.01</v>
      </c>
      <c r="M185">
        <f t="shared" si="6"/>
        <v>364.32</v>
      </c>
      <c r="N185">
        <f t="shared" si="7"/>
        <v>329.31</v>
      </c>
      <c r="O185" t="str">
        <f t="shared" si="8"/>
        <v>North</v>
      </c>
    </row>
    <row r="186" spans="1:15" x14ac:dyDescent="0.3">
      <c r="A186" t="s">
        <v>245</v>
      </c>
      <c r="B186" s="1">
        <v>45918</v>
      </c>
      <c r="C186" t="s">
        <v>69</v>
      </c>
      <c r="D186" t="s">
        <v>43</v>
      </c>
      <c r="E186" t="s">
        <v>15</v>
      </c>
      <c r="F186" t="s">
        <v>16</v>
      </c>
      <c r="G186" t="s">
        <v>49</v>
      </c>
      <c r="H186">
        <v>3</v>
      </c>
      <c r="I186">
        <v>372.83</v>
      </c>
      <c r="J186">
        <v>0.05</v>
      </c>
      <c r="K186" t="s">
        <v>44</v>
      </c>
      <c r="L186">
        <v>284.95</v>
      </c>
      <c r="M186">
        <f t="shared" si="6"/>
        <v>1062.5654999999999</v>
      </c>
      <c r="N186">
        <f t="shared" si="7"/>
        <v>777.61549999999988</v>
      </c>
      <c r="O186" t="str">
        <f t="shared" si="8"/>
        <v>North</v>
      </c>
    </row>
    <row r="187" spans="1:15" x14ac:dyDescent="0.3">
      <c r="A187" t="s">
        <v>246</v>
      </c>
      <c r="B187" s="1">
        <v>45846</v>
      </c>
      <c r="C187" t="s">
        <v>73</v>
      </c>
      <c r="D187" t="s">
        <v>70</v>
      </c>
      <c r="E187" t="s">
        <v>34</v>
      </c>
      <c r="F187" t="s">
        <v>21</v>
      </c>
      <c r="G187" t="s">
        <v>17</v>
      </c>
      <c r="H187">
        <v>1</v>
      </c>
      <c r="I187">
        <v>84.28</v>
      </c>
      <c r="J187">
        <v>0.1</v>
      </c>
      <c r="K187" t="s">
        <v>53</v>
      </c>
      <c r="L187">
        <v>58.96</v>
      </c>
      <c r="M187">
        <f t="shared" si="6"/>
        <v>75.852000000000004</v>
      </c>
      <c r="N187">
        <f t="shared" si="7"/>
        <v>16.892000000000003</v>
      </c>
      <c r="O187" t="str">
        <f t="shared" si="8"/>
        <v>South</v>
      </c>
    </row>
    <row r="188" spans="1:15" x14ac:dyDescent="0.3">
      <c r="A188" t="s">
        <v>247</v>
      </c>
      <c r="B188" s="1">
        <v>45867</v>
      </c>
      <c r="C188" t="s">
        <v>60</v>
      </c>
      <c r="D188" t="s">
        <v>14</v>
      </c>
      <c r="E188" t="s">
        <v>15</v>
      </c>
      <c r="F188" t="s">
        <v>16</v>
      </c>
      <c r="G188" t="s">
        <v>49</v>
      </c>
      <c r="H188">
        <v>8</v>
      </c>
      <c r="I188">
        <v>423.72</v>
      </c>
      <c r="J188">
        <v>0.2</v>
      </c>
      <c r="K188" t="s">
        <v>30</v>
      </c>
      <c r="L188">
        <v>280.04000000000002</v>
      </c>
      <c r="M188">
        <f t="shared" si="6"/>
        <v>2711.8080000000004</v>
      </c>
      <c r="N188">
        <f t="shared" si="7"/>
        <v>2431.7680000000005</v>
      </c>
      <c r="O188" t="str">
        <f t="shared" si="8"/>
        <v>North</v>
      </c>
    </row>
    <row r="189" spans="1:15" x14ac:dyDescent="0.3">
      <c r="A189" t="s">
        <v>248</v>
      </c>
      <c r="B189" s="1">
        <v>45940</v>
      </c>
      <c r="C189" t="s">
        <v>60</v>
      </c>
      <c r="D189" t="s">
        <v>14</v>
      </c>
      <c r="E189" t="s">
        <v>15</v>
      </c>
      <c r="F189" t="s">
        <v>21</v>
      </c>
      <c r="G189" t="s">
        <v>49</v>
      </c>
      <c r="H189">
        <v>9</v>
      </c>
      <c r="I189">
        <v>479.99</v>
      </c>
      <c r="J189">
        <v>0.1</v>
      </c>
      <c r="K189" t="s">
        <v>18</v>
      </c>
      <c r="L189">
        <v>280.63</v>
      </c>
      <c r="M189">
        <f t="shared" si="6"/>
        <v>3887.9189999999999</v>
      </c>
      <c r="N189">
        <f t="shared" si="7"/>
        <v>3607.2889999999998</v>
      </c>
      <c r="O189" t="str">
        <f t="shared" si="8"/>
        <v>South</v>
      </c>
    </row>
    <row r="190" spans="1:15" x14ac:dyDescent="0.3">
      <c r="A190" t="s">
        <v>249</v>
      </c>
      <c r="B190" s="1">
        <v>45813</v>
      </c>
      <c r="C190" t="s">
        <v>25</v>
      </c>
      <c r="D190" t="s">
        <v>46</v>
      </c>
      <c r="E190" t="s">
        <v>15</v>
      </c>
      <c r="F190" t="s">
        <v>21</v>
      </c>
      <c r="G190" t="s">
        <v>29</v>
      </c>
      <c r="H190">
        <v>1</v>
      </c>
      <c r="I190">
        <v>473.21</v>
      </c>
      <c r="J190">
        <v>0</v>
      </c>
      <c r="K190" t="s">
        <v>44</v>
      </c>
      <c r="L190">
        <v>326.45999999999998</v>
      </c>
      <c r="M190">
        <f t="shared" si="6"/>
        <v>473.21</v>
      </c>
      <c r="N190">
        <f t="shared" si="7"/>
        <v>146.75</v>
      </c>
      <c r="O190" t="str">
        <f t="shared" si="8"/>
        <v>South</v>
      </c>
    </row>
    <row r="191" spans="1:15" x14ac:dyDescent="0.3">
      <c r="A191" t="s">
        <v>250</v>
      </c>
      <c r="B191" s="1">
        <v>45786</v>
      </c>
      <c r="C191" t="s">
        <v>48</v>
      </c>
      <c r="D191" t="s">
        <v>39</v>
      </c>
      <c r="E191" t="s">
        <v>27</v>
      </c>
      <c r="F191" t="s">
        <v>35</v>
      </c>
      <c r="G191" t="s">
        <v>49</v>
      </c>
      <c r="H191">
        <v>9</v>
      </c>
      <c r="I191">
        <v>337.92</v>
      </c>
      <c r="J191">
        <v>0.1</v>
      </c>
      <c r="K191" t="s">
        <v>30</v>
      </c>
      <c r="L191">
        <v>263.04000000000002</v>
      </c>
      <c r="M191">
        <f t="shared" si="6"/>
        <v>2737.152</v>
      </c>
      <c r="N191">
        <f t="shared" si="7"/>
        <v>2474.1120000000001</v>
      </c>
      <c r="O191" t="str">
        <f t="shared" si="8"/>
        <v>East</v>
      </c>
    </row>
    <row r="192" spans="1:15" x14ac:dyDescent="0.3">
      <c r="A192" t="s">
        <v>251</v>
      </c>
      <c r="B192" s="1">
        <v>45955</v>
      </c>
      <c r="C192" t="s">
        <v>92</v>
      </c>
      <c r="D192" t="s">
        <v>64</v>
      </c>
      <c r="E192" t="s">
        <v>34</v>
      </c>
      <c r="F192" t="s">
        <v>21</v>
      </c>
      <c r="G192" t="s">
        <v>22</v>
      </c>
      <c r="H192">
        <v>9</v>
      </c>
      <c r="I192">
        <v>96.35</v>
      </c>
      <c r="J192">
        <v>0.05</v>
      </c>
      <c r="K192" t="s">
        <v>23</v>
      </c>
      <c r="L192">
        <v>68.39</v>
      </c>
      <c r="M192">
        <f t="shared" si="6"/>
        <v>823.7924999999999</v>
      </c>
      <c r="N192">
        <f t="shared" si="7"/>
        <v>755.40249999999992</v>
      </c>
      <c r="O192" t="str">
        <f t="shared" si="8"/>
        <v>South</v>
      </c>
    </row>
    <row r="193" spans="1:15" x14ac:dyDescent="0.3">
      <c r="A193" t="s">
        <v>252</v>
      </c>
      <c r="B193" s="1">
        <v>45672</v>
      </c>
      <c r="C193" t="s">
        <v>37</v>
      </c>
      <c r="D193" t="s">
        <v>64</v>
      </c>
      <c r="E193" t="s">
        <v>34</v>
      </c>
      <c r="F193" t="s">
        <v>16</v>
      </c>
      <c r="G193" t="s">
        <v>22</v>
      </c>
      <c r="H193">
        <v>10</v>
      </c>
      <c r="I193">
        <v>73.83</v>
      </c>
      <c r="J193">
        <v>0</v>
      </c>
      <c r="K193" t="s">
        <v>23</v>
      </c>
      <c r="L193">
        <v>57.06</v>
      </c>
      <c r="M193">
        <f t="shared" si="6"/>
        <v>738.3</v>
      </c>
      <c r="N193">
        <f t="shared" si="7"/>
        <v>681.24</v>
      </c>
      <c r="O193" t="str">
        <f t="shared" si="8"/>
        <v>North</v>
      </c>
    </row>
    <row r="194" spans="1:15" x14ac:dyDescent="0.3">
      <c r="A194" t="s">
        <v>253</v>
      </c>
      <c r="B194" s="1">
        <v>45673</v>
      </c>
      <c r="C194" t="s">
        <v>108</v>
      </c>
      <c r="D194" t="s">
        <v>43</v>
      </c>
      <c r="E194" t="s">
        <v>15</v>
      </c>
      <c r="F194" t="s">
        <v>35</v>
      </c>
      <c r="G194" t="s">
        <v>22</v>
      </c>
      <c r="H194">
        <v>10</v>
      </c>
      <c r="I194">
        <v>312.77999999999997</v>
      </c>
      <c r="J194">
        <v>0.15</v>
      </c>
      <c r="K194" t="s">
        <v>30</v>
      </c>
      <c r="L194">
        <v>224.23</v>
      </c>
      <c r="M194">
        <f t="shared" ref="M194:M257" si="9">H194*I194*(1-J194)</f>
        <v>2658.6299999999997</v>
      </c>
      <c r="N194">
        <f t="shared" ref="N194:N257" si="10">M194-L194</f>
        <v>2434.3999999999996</v>
      </c>
      <c r="O194" t="str">
        <f t="shared" ref="O194:O257" si="11">TRIM(CLEAN(SUBSTITUTE(F194,CHAR(160)," ")))</f>
        <v>East</v>
      </c>
    </row>
    <row r="195" spans="1:15" x14ac:dyDescent="0.3">
      <c r="A195" t="s">
        <v>254</v>
      </c>
      <c r="B195" s="1">
        <v>46010</v>
      </c>
      <c r="C195" t="s">
        <v>125</v>
      </c>
      <c r="D195" t="s">
        <v>61</v>
      </c>
      <c r="E195" t="s">
        <v>34</v>
      </c>
      <c r="F195" t="s">
        <v>21</v>
      </c>
      <c r="G195" t="s">
        <v>65</v>
      </c>
      <c r="H195">
        <v>7</v>
      </c>
      <c r="I195">
        <v>52.04</v>
      </c>
      <c r="J195">
        <v>0.1</v>
      </c>
      <c r="K195" t="s">
        <v>18</v>
      </c>
      <c r="L195">
        <v>34.99</v>
      </c>
      <c r="M195">
        <f t="shared" si="9"/>
        <v>327.85199999999998</v>
      </c>
      <c r="N195">
        <f t="shared" si="10"/>
        <v>292.86199999999997</v>
      </c>
      <c r="O195" t="str">
        <f t="shared" si="11"/>
        <v>South</v>
      </c>
    </row>
    <row r="196" spans="1:15" x14ac:dyDescent="0.3">
      <c r="A196" t="s">
        <v>255</v>
      </c>
      <c r="B196" s="1">
        <v>45821</v>
      </c>
      <c r="C196" t="s">
        <v>32</v>
      </c>
      <c r="D196" t="s">
        <v>61</v>
      </c>
      <c r="E196" t="s">
        <v>34</v>
      </c>
      <c r="F196" t="s">
        <v>28</v>
      </c>
      <c r="G196" t="s">
        <v>49</v>
      </c>
      <c r="H196">
        <v>6</v>
      </c>
      <c r="I196">
        <v>71.8</v>
      </c>
      <c r="J196">
        <v>0.2</v>
      </c>
      <c r="K196" t="s">
        <v>30</v>
      </c>
      <c r="L196">
        <v>42.28</v>
      </c>
      <c r="M196">
        <f t="shared" si="9"/>
        <v>344.64</v>
      </c>
      <c r="N196">
        <f t="shared" si="10"/>
        <v>302.36</v>
      </c>
      <c r="O196" t="str">
        <f t="shared" si="11"/>
        <v>West</v>
      </c>
    </row>
    <row r="197" spans="1:15" x14ac:dyDescent="0.3">
      <c r="A197" t="s">
        <v>256</v>
      </c>
      <c r="B197" s="1">
        <v>45794</v>
      </c>
      <c r="C197" t="s">
        <v>73</v>
      </c>
      <c r="D197" t="s">
        <v>46</v>
      </c>
      <c r="E197" t="s">
        <v>15</v>
      </c>
      <c r="F197" t="s">
        <v>21</v>
      </c>
      <c r="G197" t="s">
        <v>49</v>
      </c>
      <c r="H197">
        <v>6</v>
      </c>
      <c r="I197">
        <v>368.5</v>
      </c>
      <c r="J197">
        <v>0.05</v>
      </c>
      <c r="K197" t="s">
        <v>53</v>
      </c>
      <c r="L197">
        <v>249.09</v>
      </c>
      <c r="M197">
        <f t="shared" si="9"/>
        <v>2100.4499999999998</v>
      </c>
      <c r="N197">
        <f t="shared" si="10"/>
        <v>1851.36</v>
      </c>
      <c r="O197" t="str">
        <f t="shared" si="11"/>
        <v>South</v>
      </c>
    </row>
    <row r="198" spans="1:15" x14ac:dyDescent="0.3">
      <c r="A198" t="s">
        <v>257</v>
      </c>
      <c r="B198" s="1">
        <v>45739</v>
      </c>
      <c r="C198" t="s">
        <v>67</v>
      </c>
      <c r="D198" t="s">
        <v>20</v>
      </c>
      <c r="E198" t="s">
        <v>15</v>
      </c>
      <c r="F198" t="s">
        <v>35</v>
      </c>
      <c r="G198" t="s">
        <v>49</v>
      </c>
      <c r="H198">
        <v>7</v>
      </c>
      <c r="I198">
        <v>722.55</v>
      </c>
      <c r="J198">
        <v>0.2</v>
      </c>
      <c r="K198" t="s">
        <v>44</v>
      </c>
      <c r="L198">
        <v>478.98</v>
      </c>
      <c r="M198">
        <f t="shared" si="9"/>
        <v>4046.2799999999997</v>
      </c>
      <c r="N198">
        <f t="shared" si="10"/>
        <v>3567.2999999999997</v>
      </c>
      <c r="O198" t="str">
        <f t="shared" si="11"/>
        <v>East</v>
      </c>
    </row>
    <row r="199" spans="1:15" x14ac:dyDescent="0.3">
      <c r="A199" t="s">
        <v>258</v>
      </c>
      <c r="B199" s="1">
        <v>45912</v>
      </c>
      <c r="C199" t="s">
        <v>85</v>
      </c>
      <c r="D199" t="s">
        <v>61</v>
      </c>
      <c r="E199" t="s">
        <v>34</v>
      </c>
      <c r="F199" t="s">
        <v>16</v>
      </c>
      <c r="G199" t="s">
        <v>65</v>
      </c>
      <c r="H199">
        <v>8</v>
      </c>
      <c r="I199">
        <v>119.64</v>
      </c>
      <c r="J199">
        <v>0.15</v>
      </c>
      <c r="K199" t="s">
        <v>23</v>
      </c>
      <c r="L199">
        <v>94.2</v>
      </c>
      <c r="M199">
        <f t="shared" si="9"/>
        <v>813.55200000000002</v>
      </c>
      <c r="N199">
        <f t="shared" si="10"/>
        <v>719.35199999999998</v>
      </c>
      <c r="O199" t="str">
        <f t="shared" si="11"/>
        <v>North</v>
      </c>
    </row>
    <row r="200" spans="1:15" x14ac:dyDescent="0.3">
      <c r="A200" t="s">
        <v>259</v>
      </c>
      <c r="B200" s="1">
        <v>45683</v>
      </c>
      <c r="C200" t="s">
        <v>79</v>
      </c>
      <c r="D200" t="s">
        <v>61</v>
      </c>
      <c r="E200" t="s">
        <v>34</v>
      </c>
      <c r="F200" t="s">
        <v>28</v>
      </c>
      <c r="G200" t="s">
        <v>17</v>
      </c>
      <c r="H200">
        <v>4</v>
      </c>
      <c r="I200">
        <v>117</v>
      </c>
      <c r="J200">
        <v>0.2</v>
      </c>
      <c r="K200" t="s">
        <v>18</v>
      </c>
      <c r="L200">
        <v>75.5</v>
      </c>
      <c r="M200">
        <f t="shared" si="9"/>
        <v>374.40000000000003</v>
      </c>
      <c r="N200">
        <f t="shared" si="10"/>
        <v>298.90000000000003</v>
      </c>
      <c r="O200" t="str">
        <f t="shared" si="11"/>
        <v>West</v>
      </c>
    </row>
    <row r="201" spans="1:15" x14ac:dyDescent="0.3">
      <c r="A201" t="s">
        <v>260</v>
      </c>
      <c r="B201" s="1">
        <v>45793</v>
      </c>
      <c r="C201" t="s">
        <v>32</v>
      </c>
      <c r="D201" t="s">
        <v>43</v>
      </c>
      <c r="E201" t="s">
        <v>15</v>
      </c>
      <c r="F201" t="s">
        <v>28</v>
      </c>
      <c r="G201" t="s">
        <v>29</v>
      </c>
      <c r="H201">
        <v>2</v>
      </c>
      <c r="I201">
        <v>284.17</v>
      </c>
      <c r="J201">
        <v>0.15</v>
      </c>
      <c r="K201" t="s">
        <v>53</v>
      </c>
      <c r="L201">
        <v>166.57</v>
      </c>
      <c r="M201">
        <f t="shared" si="9"/>
        <v>483.089</v>
      </c>
      <c r="N201">
        <f t="shared" si="10"/>
        <v>316.51900000000001</v>
      </c>
      <c r="O201" t="str">
        <f t="shared" si="11"/>
        <v>West</v>
      </c>
    </row>
    <row r="202" spans="1:15" x14ac:dyDescent="0.3">
      <c r="A202" t="s">
        <v>261</v>
      </c>
      <c r="B202" s="1">
        <v>45805</v>
      </c>
      <c r="C202" t="s">
        <v>37</v>
      </c>
      <c r="D202" t="s">
        <v>26</v>
      </c>
      <c r="E202" t="s">
        <v>27</v>
      </c>
      <c r="F202" t="s">
        <v>28</v>
      </c>
      <c r="G202" t="s">
        <v>17</v>
      </c>
      <c r="H202">
        <v>9</v>
      </c>
      <c r="I202">
        <v>110.23</v>
      </c>
      <c r="J202">
        <v>0.05</v>
      </c>
      <c r="K202" t="s">
        <v>18</v>
      </c>
      <c r="L202">
        <v>71.42</v>
      </c>
      <c r="M202">
        <f t="shared" si="9"/>
        <v>942.4665</v>
      </c>
      <c r="N202">
        <f t="shared" si="10"/>
        <v>871.04650000000004</v>
      </c>
      <c r="O202" t="str">
        <f t="shared" si="11"/>
        <v>West</v>
      </c>
    </row>
    <row r="203" spans="1:15" x14ac:dyDescent="0.3">
      <c r="A203" t="s">
        <v>262</v>
      </c>
      <c r="B203" s="1">
        <v>45707</v>
      </c>
      <c r="C203" t="s">
        <v>55</v>
      </c>
      <c r="D203" t="s">
        <v>46</v>
      </c>
      <c r="E203" t="s">
        <v>15</v>
      </c>
      <c r="F203" t="s">
        <v>35</v>
      </c>
      <c r="G203" t="s">
        <v>29</v>
      </c>
      <c r="H203">
        <v>10</v>
      </c>
      <c r="I203">
        <v>283.92</v>
      </c>
      <c r="J203">
        <v>0.2</v>
      </c>
      <c r="K203" t="s">
        <v>23</v>
      </c>
      <c r="L203">
        <v>165.26</v>
      </c>
      <c r="M203">
        <f t="shared" si="9"/>
        <v>2271.36</v>
      </c>
      <c r="N203">
        <f t="shared" si="10"/>
        <v>2106.1000000000004</v>
      </c>
      <c r="O203" t="str">
        <f t="shared" si="11"/>
        <v>East</v>
      </c>
    </row>
    <row r="204" spans="1:15" x14ac:dyDescent="0.3">
      <c r="A204" t="s">
        <v>263</v>
      </c>
      <c r="B204" s="1">
        <v>45914</v>
      </c>
      <c r="C204" t="s">
        <v>125</v>
      </c>
      <c r="D204" t="s">
        <v>39</v>
      </c>
      <c r="E204" t="s">
        <v>27</v>
      </c>
      <c r="F204" t="s">
        <v>16</v>
      </c>
      <c r="G204" t="s">
        <v>40</v>
      </c>
      <c r="H204">
        <v>4</v>
      </c>
      <c r="I204">
        <v>293.64</v>
      </c>
      <c r="J204">
        <v>0.2</v>
      </c>
      <c r="K204" t="s">
        <v>44</v>
      </c>
      <c r="L204">
        <v>201.87</v>
      </c>
      <c r="M204">
        <f t="shared" si="9"/>
        <v>939.64800000000002</v>
      </c>
      <c r="N204">
        <f t="shared" si="10"/>
        <v>737.77800000000002</v>
      </c>
      <c r="O204" t="str">
        <f t="shared" si="11"/>
        <v>North</v>
      </c>
    </row>
    <row r="205" spans="1:15" x14ac:dyDescent="0.3">
      <c r="A205" t="s">
        <v>264</v>
      </c>
      <c r="B205" s="1">
        <v>45921</v>
      </c>
      <c r="C205" t="s">
        <v>92</v>
      </c>
      <c r="D205" t="s">
        <v>39</v>
      </c>
      <c r="E205" t="s">
        <v>27</v>
      </c>
      <c r="F205" t="s">
        <v>35</v>
      </c>
      <c r="G205" t="s">
        <v>17</v>
      </c>
      <c r="H205">
        <v>9</v>
      </c>
      <c r="I205">
        <v>304.91000000000003</v>
      </c>
      <c r="J205">
        <v>0.15</v>
      </c>
      <c r="K205" t="s">
        <v>30</v>
      </c>
      <c r="L205">
        <v>179.96</v>
      </c>
      <c r="M205">
        <f t="shared" si="9"/>
        <v>2332.5614999999998</v>
      </c>
      <c r="N205">
        <f t="shared" si="10"/>
        <v>2152.6014999999998</v>
      </c>
      <c r="O205" t="str">
        <f t="shared" si="11"/>
        <v>East</v>
      </c>
    </row>
    <row r="206" spans="1:15" x14ac:dyDescent="0.3">
      <c r="A206" t="s">
        <v>265</v>
      </c>
      <c r="B206" s="1">
        <v>45917</v>
      </c>
      <c r="C206" t="s">
        <v>52</v>
      </c>
      <c r="D206" t="s">
        <v>33</v>
      </c>
      <c r="E206" t="s">
        <v>34</v>
      </c>
      <c r="F206" t="s">
        <v>28</v>
      </c>
      <c r="G206" t="s">
        <v>22</v>
      </c>
      <c r="H206">
        <v>10</v>
      </c>
      <c r="I206">
        <v>95.01</v>
      </c>
      <c r="J206">
        <v>0.1</v>
      </c>
      <c r="K206" t="s">
        <v>23</v>
      </c>
      <c r="L206">
        <v>67.489999999999995</v>
      </c>
      <c r="M206">
        <f t="shared" si="9"/>
        <v>855.09</v>
      </c>
      <c r="N206">
        <f t="shared" si="10"/>
        <v>787.6</v>
      </c>
      <c r="O206" t="str">
        <f t="shared" si="11"/>
        <v>West</v>
      </c>
    </row>
    <row r="207" spans="1:15" x14ac:dyDescent="0.3">
      <c r="A207" t="s">
        <v>266</v>
      </c>
      <c r="B207" s="1">
        <v>45714</v>
      </c>
      <c r="C207" t="s">
        <v>100</v>
      </c>
      <c r="D207" t="s">
        <v>43</v>
      </c>
      <c r="E207" t="s">
        <v>15</v>
      </c>
      <c r="F207" t="s">
        <v>35</v>
      </c>
      <c r="G207" t="s">
        <v>22</v>
      </c>
      <c r="H207">
        <v>1</v>
      </c>
      <c r="I207">
        <v>268.72000000000003</v>
      </c>
      <c r="J207">
        <v>0.1</v>
      </c>
      <c r="K207" t="s">
        <v>53</v>
      </c>
      <c r="L207">
        <v>171.83</v>
      </c>
      <c r="M207">
        <f t="shared" si="9"/>
        <v>241.84800000000004</v>
      </c>
      <c r="N207">
        <f t="shared" si="10"/>
        <v>70.018000000000029</v>
      </c>
      <c r="O207" t="str">
        <f t="shared" si="11"/>
        <v>East</v>
      </c>
    </row>
    <row r="208" spans="1:15" x14ac:dyDescent="0.3">
      <c r="A208" t="s">
        <v>267</v>
      </c>
      <c r="B208" s="1">
        <v>45684</v>
      </c>
      <c r="C208" t="s">
        <v>60</v>
      </c>
      <c r="D208" t="s">
        <v>64</v>
      </c>
      <c r="E208" t="s">
        <v>34</v>
      </c>
      <c r="F208" t="s">
        <v>28</v>
      </c>
      <c r="G208" t="s">
        <v>49</v>
      </c>
      <c r="H208">
        <v>10</v>
      </c>
      <c r="I208">
        <v>89.58</v>
      </c>
      <c r="J208">
        <v>0.2</v>
      </c>
      <c r="K208" t="s">
        <v>23</v>
      </c>
      <c r="L208">
        <v>54.77</v>
      </c>
      <c r="M208">
        <f t="shared" si="9"/>
        <v>716.64</v>
      </c>
      <c r="N208">
        <f t="shared" si="10"/>
        <v>661.87</v>
      </c>
      <c r="O208" t="str">
        <f t="shared" si="11"/>
        <v>West</v>
      </c>
    </row>
    <row r="209" spans="1:15" x14ac:dyDescent="0.3">
      <c r="A209" t="s">
        <v>268</v>
      </c>
      <c r="B209" s="1">
        <v>45782</v>
      </c>
      <c r="C209" t="s">
        <v>125</v>
      </c>
      <c r="D209" t="s">
        <v>64</v>
      </c>
      <c r="E209" t="s">
        <v>34</v>
      </c>
      <c r="F209" t="s">
        <v>16</v>
      </c>
      <c r="G209" t="s">
        <v>49</v>
      </c>
      <c r="H209">
        <v>7</v>
      </c>
      <c r="I209">
        <v>124.08</v>
      </c>
      <c r="J209">
        <v>0.05</v>
      </c>
      <c r="K209" t="s">
        <v>53</v>
      </c>
      <c r="L209">
        <v>95.77</v>
      </c>
      <c r="M209">
        <f t="shared" si="9"/>
        <v>825.13199999999995</v>
      </c>
      <c r="N209">
        <f t="shared" si="10"/>
        <v>729.36199999999997</v>
      </c>
      <c r="O209" t="str">
        <f t="shared" si="11"/>
        <v>North</v>
      </c>
    </row>
    <row r="210" spans="1:15" x14ac:dyDescent="0.3">
      <c r="A210" t="s">
        <v>269</v>
      </c>
      <c r="B210" s="1">
        <v>45868</v>
      </c>
      <c r="C210" t="s">
        <v>52</v>
      </c>
      <c r="D210" t="s">
        <v>61</v>
      </c>
      <c r="E210" t="s">
        <v>34</v>
      </c>
      <c r="F210" t="s">
        <v>28</v>
      </c>
      <c r="G210" t="s">
        <v>22</v>
      </c>
      <c r="H210">
        <v>3</v>
      </c>
      <c r="I210">
        <v>58.23</v>
      </c>
      <c r="J210">
        <v>0.15</v>
      </c>
      <c r="K210" t="s">
        <v>53</v>
      </c>
      <c r="L210">
        <v>42.88</v>
      </c>
      <c r="M210">
        <f t="shared" si="9"/>
        <v>148.48650000000001</v>
      </c>
      <c r="N210">
        <f t="shared" si="10"/>
        <v>105.60650000000001</v>
      </c>
      <c r="O210" t="str">
        <f t="shared" si="11"/>
        <v>West</v>
      </c>
    </row>
    <row r="211" spans="1:15" x14ac:dyDescent="0.3">
      <c r="A211" t="s">
        <v>270</v>
      </c>
      <c r="B211" s="1">
        <v>45902</v>
      </c>
      <c r="C211" t="s">
        <v>52</v>
      </c>
      <c r="D211" t="s">
        <v>33</v>
      </c>
      <c r="E211" t="s">
        <v>34</v>
      </c>
      <c r="F211" t="s">
        <v>28</v>
      </c>
      <c r="G211" t="s">
        <v>29</v>
      </c>
      <c r="H211">
        <v>9</v>
      </c>
      <c r="I211">
        <v>112.62</v>
      </c>
      <c r="J211">
        <v>0.1</v>
      </c>
      <c r="K211" t="s">
        <v>44</v>
      </c>
      <c r="L211">
        <v>92.29</v>
      </c>
      <c r="M211">
        <f t="shared" si="9"/>
        <v>912.22200000000009</v>
      </c>
      <c r="N211">
        <f t="shared" si="10"/>
        <v>819.93200000000013</v>
      </c>
      <c r="O211" t="str">
        <f t="shared" si="11"/>
        <v>West</v>
      </c>
    </row>
    <row r="212" spans="1:15" x14ac:dyDescent="0.3">
      <c r="A212" t="s">
        <v>271</v>
      </c>
      <c r="B212" s="1">
        <v>46006</v>
      </c>
      <c r="C212" t="s">
        <v>42</v>
      </c>
      <c r="D212" t="s">
        <v>61</v>
      </c>
      <c r="E212" t="s">
        <v>34</v>
      </c>
      <c r="F212" t="s">
        <v>28</v>
      </c>
      <c r="G212" t="s">
        <v>49</v>
      </c>
      <c r="H212">
        <v>6</v>
      </c>
      <c r="I212">
        <v>112.09</v>
      </c>
      <c r="J212">
        <v>0.2</v>
      </c>
      <c r="K212" t="s">
        <v>44</v>
      </c>
      <c r="L212">
        <v>72.37</v>
      </c>
      <c r="M212">
        <f t="shared" si="9"/>
        <v>538.03200000000004</v>
      </c>
      <c r="N212">
        <f t="shared" si="10"/>
        <v>465.66200000000003</v>
      </c>
      <c r="O212" t="str">
        <f t="shared" si="11"/>
        <v>West</v>
      </c>
    </row>
    <row r="213" spans="1:15" x14ac:dyDescent="0.3">
      <c r="A213" t="s">
        <v>272</v>
      </c>
      <c r="B213" s="1">
        <v>46018</v>
      </c>
      <c r="C213" t="s">
        <v>48</v>
      </c>
      <c r="D213" t="s">
        <v>43</v>
      </c>
      <c r="E213" t="s">
        <v>15</v>
      </c>
      <c r="F213" t="s">
        <v>28</v>
      </c>
      <c r="G213" t="s">
        <v>29</v>
      </c>
      <c r="H213">
        <v>4</v>
      </c>
      <c r="I213">
        <v>289.52</v>
      </c>
      <c r="J213">
        <v>0.1</v>
      </c>
      <c r="K213" t="s">
        <v>18</v>
      </c>
      <c r="L213">
        <v>219.52</v>
      </c>
      <c r="M213">
        <f t="shared" si="9"/>
        <v>1042.2719999999999</v>
      </c>
      <c r="N213">
        <f t="shared" si="10"/>
        <v>822.75199999999995</v>
      </c>
      <c r="O213" t="str">
        <f t="shared" si="11"/>
        <v>West</v>
      </c>
    </row>
    <row r="214" spans="1:15" x14ac:dyDescent="0.3">
      <c r="A214" t="s">
        <v>273</v>
      </c>
      <c r="B214" s="1">
        <v>46004</v>
      </c>
      <c r="C214" t="s">
        <v>13</v>
      </c>
      <c r="D214" t="s">
        <v>39</v>
      </c>
      <c r="E214" t="s">
        <v>27</v>
      </c>
      <c r="F214" t="s">
        <v>28</v>
      </c>
      <c r="G214" t="s">
        <v>65</v>
      </c>
      <c r="H214">
        <v>5</v>
      </c>
      <c r="I214">
        <v>248.91</v>
      </c>
      <c r="J214">
        <v>0.1</v>
      </c>
      <c r="K214" t="s">
        <v>30</v>
      </c>
      <c r="L214">
        <v>145.09</v>
      </c>
      <c r="M214">
        <f t="shared" si="9"/>
        <v>1120.095</v>
      </c>
      <c r="N214">
        <f t="shared" si="10"/>
        <v>975.005</v>
      </c>
      <c r="O214" t="str">
        <f t="shared" si="11"/>
        <v>West</v>
      </c>
    </row>
    <row r="215" spans="1:15" x14ac:dyDescent="0.3">
      <c r="A215" t="s">
        <v>274</v>
      </c>
      <c r="B215" s="1">
        <v>45884</v>
      </c>
      <c r="C215" t="s">
        <v>42</v>
      </c>
      <c r="D215" t="s">
        <v>33</v>
      </c>
      <c r="E215" t="s">
        <v>34</v>
      </c>
      <c r="F215" t="s">
        <v>28</v>
      </c>
      <c r="G215" t="s">
        <v>49</v>
      </c>
      <c r="H215">
        <v>5</v>
      </c>
      <c r="I215">
        <v>80.66</v>
      </c>
      <c r="J215">
        <v>0</v>
      </c>
      <c r="K215" t="s">
        <v>44</v>
      </c>
      <c r="L215">
        <v>51.91</v>
      </c>
      <c r="M215">
        <f t="shared" si="9"/>
        <v>403.29999999999995</v>
      </c>
      <c r="N215">
        <f t="shared" si="10"/>
        <v>351.39</v>
      </c>
      <c r="O215" t="str">
        <f t="shared" si="11"/>
        <v>West</v>
      </c>
    </row>
    <row r="216" spans="1:15" x14ac:dyDescent="0.3">
      <c r="A216" t="s">
        <v>275</v>
      </c>
      <c r="B216" s="1">
        <v>45973</v>
      </c>
      <c r="C216" t="s">
        <v>60</v>
      </c>
      <c r="D216" t="s">
        <v>46</v>
      </c>
      <c r="E216" t="s">
        <v>15</v>
      </c>
      <c r="F216" t="s">
        <v>21</v>
      </c>
      <c r="G216" t="s">
        <v>49</v>
      </c>
      <c r="H216">
        <v>9</v>
      </c>
      <c r="I216">
        <v>281.33999999999997</v>
      </c>
      <c r="J216">
        <v>0.1</v>
      </c>
      <c r="K216" t="s">
        <v>53</v>
      </c>
      <c r="L216">
        <v>165.16</v>
      </c>
      <c r="M216">
        <f t="shared" si="9"/>
        <v>2278.8539999999998</v>
      </c>
      <c r="N216">
        <f t="shared" si="10"/>
        <v>2113.694</v>
      </c>
      <c r="O216" t="str">
        <f t="shared" si="11"/>
        <v>South</v>
      </c>
    </row>
    <row r="217" spans="1:15" x14ac:dyDescent="0.3">
      <c r="A217" t="s">
        <v>276</v>
      </c>
      <c r="B217" s="1">
        <v>45827</v>
      </c>
      <c r="C217" t="s">
        <v>108</v>
      </c>
      <c r="D217" t="s">
        <v>46</v>
      </c>
      <c r="E217" t="s">
        <v>15</v>
      </c>
      <c r="F217" t="s">
        <v>16</v>
      </c>
      <c r="G217" t="s">
        <v>22</v>
      </c>
      <c r="H217">
        <v>4</v>
      </c>
      <c r="I217">
        <v>267.7</v>
      </c>
      <c r="J217">
        <v>0</v>
      </c>
      <c r="K217" t="s">
        <v>44</v>
      </c>
      <c r="L217">
        <v>154.47999999999999</v>
      </c>
      <c r="M217">
        <f t="shared" si="9"/>
        <v>1070.8</v>
      </c>
      <c r="N217">
        <f t="shared" si="10"/>
        <v>916.31999999999994</v>
      </c>
      <c r="O217" t="str">
        <f t="shared" si="11"/>
        <v>North</v>
      </c>
    </row>
    <row r="218" spans="1:15" x14ac:dyDescent="0.3">
      <c r="A218" t="s">
        <v>277</v>
      </c>
      <c r="B218" s="1">
        <v>45901</v>
      </c>
      <c r="C218" t="s">
        <v>108</v>
      </c>
      <c r="D218" t="s">
        <v>20</v>
      </c>
      <c r="E218" t="s">
        <v>15</v>
      </c>
      <c r="F218" t="s">
        <v>21</v>
      </c>
      <c r="G218" t="s">
        <v>29</v>
      </c>
      <c r="H218">
        <v>3</v>
      </c>
      <c r="I218">
        <v>891.13</v>
      </c>
      <c r="J218">
        <v>0.15</v>
      </c>
      <c r="K218" t="s">
        <v>30</v>
      </c>
      <c r="L218">
        <v>647.21</v>
      </c>
      <c r="M218">
        <f t="shared" si="9"/>
        <v>2272.3815</v>
      </c>
      <c r="N218">
        <f t="shared" si="10"/>
        <v>1625.1714999999999</v>
      </c>
      <c r="O218" t="str">
        <f t="shared" si="11"/>
        <v>South</v>
      </c>
    </row>
    <row r="219" spans="1:15" x14ac:dyDescent="0.3">
      <c r="A219" t="s">
        <v>278</v>
      </c>
      <c r="B219" s="1">
        <v>45677</v>
      </c>
      <c r="C219" t="s">
        <v>25</v>
      </c>
      <c r="D219" t="s">
        <v>43</v>
      </c>
      <c r="E219" t="s">
        <v>15</v>
      </c>
      <c r="F219" t="s">
        <v>28</v>
      </c>
      <c r="G219" t="s">
        <v>49</v>
      </c>
      <c r="H219">
        <v>2</v>
      </c>
      <c r="I219">
        <v>311.47000000000003</v>
      </c>
      <c r="J219">
        <v>0.2</v>
      </c>
      <c r="K219" t="s">
        <v>53</v>
      </c>
      <c r="L219">
        <v>190.84</v>
      </c>
      <c r="M219">
        <f t="shared" si="9"/>
        <v>498.35200000000009</v>
      </c>
      <c r="N219">
        <f t="shared" si="10"/>
        <v>307.51200000000006</v>
      </c>
      <c r="O219" t="str">
        <f t="shared" si="11"/>
        <v>West</v>
      </c>
    </row>
    <row r="220" spans="1:15" x14ac:dyDescent="0.3">
      <c r="A220" t="s">
        <v>279</v>
      </c>
      <c r="B220" s="1">
        <v>45662</v>
      </c>
      <c r="C220" t="s">
        <v>79</v>
      </c>
      <c r="D220" t="s">
        <v>26</v>
      </c>
      <c r="E220" t="s">
        <v>27</v>
      </c>
      <c r="F220" t="s">
        <v>16</v>
      </c>
      <c r="G220" t="s">
        <v>29</v>
      </c>
      <c r="H220">
        <v>3</v>
      </c>
      <c r="I220">
        <v>257.58999999999997</v>
      </c>
      <c r="J220">
        <v>0.1</v>
      </c>
      <c r="K220" t="s">
        <v>30</v>
      </c>
      <c r="L220">
        <v>202.65</v>
      </c>
      <c r="M220">
        <f t="shared" si="9"/>
        <v>695.49300000000005</v>
      </c>
      <c r="N220">
        <f t="shared" si="10"/>
        <v>492.84300000000007</v>
      </c>
      <c r="O220" t="str">
        <f t="shared" si="11"/>
        <v>North</v>
      </c>
    </row>
    <row r="221" spans="1:15" x14ac:dyDescent="0.3">
      <c r="A221" t="s">
        <v>280</v>
      </c>
      <c r="B221" s="1">
        <v>45726</v>
      </c>
      <c r="C221" t="s">
        <v>52</v>
      </c>
      <c r="D221" t="s">
        <v>281</v>
      </c>
      <c r="E221" t="s">
        <v>34</v>
      </c>
      <c r="F221" t="s">
        <v>28</v>
      </c>
      <c r="G221" t="s">
        <v>29</v>
      </c>
      <c r="H221">
        <v>9</v>
      </c>
      <c r="I221">
        <v>119.02</v>
      </c>
      <c r="J221">
        <v>0.2</v>
      </c>
      <c r="K221" t="s">
        <v>44</v>
      </c>
      <c r="L221">
        <v>81.33</v>
      </c>
      <c r="M221">
        <f t="shared" si="9"/>
        <v>856.94400000000007</v>
      </c>
      <c r="N221">
        <f t="shared" si="10"/>
        <v>775.61400000000003</v>
      </c>
      <c r="O221" t="str">
        <f t="shared" si="11"/>
        <v>West</v>
      </c>
    </row>
    <row r="222" spans="1:15" x14ac:dyDescent="0.3">
      <c r="A222" t="s">
        <v>282</v>
      </c>
      <c r="B222" s="1">
        <v>45665</v>
      </c>
      <c r="C222" t="s">
        <v>67</v>
      </c>
      <c r="D222" t="s">
        <v>14</v>
      </c>
      <c r="E222" t="s">
        <v>15</v>
      </c>
      <c r="F222" t="s">
        <v>35</v>
      </c>
      <c r="G222" t="s">
        <v>17</v>
      </c>
      <c r="H222">
        <v>8</v>
      </c>
      <c r="I222">
        <v>432.27</v>
      </c>
      <c r="J222">
        <v>0.1</v>
      </c>
      <c r="K222" t="s">
        <v>44</v>
      </c>
      <c r="L222">
        <v>321.62</v>
      </c>
      <c r="M222">
        <f t="shared" si="9"/>
        <v>3112.3440000000001</v>
      </c>
      <c r="N222">
        <f t="shared" si="10"/>
        <v>2790.7240000000002</v>
      </c>
      <c r="O222" t="str">
        <f t="shared" si="11"/>
        <v>East</v>
      </c>
    </row>
    <row r="223" spans="1:15" x14ac:dyDescent="0.3">
      <c r="A223" t="s">
        <v>283</v>
      </c>
      <c r="B223" s="1">
        <v>45702</v>
      </c>
      <c r="C223" t="s">
        <v>55</v>
      </c>
      <c r="D223" t="s">
        <v>33</v>
      </c>
      <c r="E223" t="s">
        <v>34</v>
      </c>
      <c r="F223" t="s">
        <v>16</v>
      </c>
      <c r="G223" t="s">
        <v>49</v>
      </c>
      <c r="H223">
        <v>7</v>
      </c>
      <c r="I223">
        <v>125.53</v>
      </c>
      <c r="J223">
        <v>0.15</v>
      </c>
      <c r="K223" t="s">
        <v>44</v>
      </c>
      <c r="L223">
        <v>86.51</v>
      </c>
      <c r="M223">
        <f t="shared" si="9"/>
        <v>746.90350000000001</v>
      </c>
      <c r="N223">
        <f t="shared" si="10"/>
        <v>660.39350000000002</v>
      </c>
      <c r="O223" t="str">
        <f t="shared" si="11"/>
        <v>North</v>
      </c>
    </row>
    <row r="224" spans="1:15" x14ac:dyDescent="0.3">
      <c r="A224" t="s">
        <v>284</v>
      </c>
      <c r="B224" s="1">
        <v>45778</v>
      </c>
      <c r="C224" t="s">
        <v>73</v>
      </c>
      <c r="D224" t="s">
        <v>61</v>
      </c>
      <c r="E224" t="s">
        <v>34</v>
      </c>
      <c r="F224" t="s">
        <v>35</v>
      </c>
      <c r="G224" t="s">
        <v>29</v>
      </c>
      <c r="H224">
        <v>4</v>
      </c>
      <c r="I224">
        <v>59.12</v>
      </c>
      <c r="J224">
        <v>0</v>
      </c>
      <c r="K224" t="s">
        <v>30</v>
      </c>
      <c r="L224">
        <v>36.68</v>
      </c>
      <c r="M224">
        <f t="shared" si="9"/>
        <v>236.48</v>
      </c>
      <c r="N224">
        <f t="shared" si="10"/>
        <v>199.79999999999998</v>
      </c>
      <c r="O224" t="str">
        <f t="shared" si="11"/>
        <v>East</v>
      </c>
    </row>
    <row r="225" spans="1:15" x14ac:dyDescent="0.3">
      <c r="A225" t="s">
        <v>285</v>
      </c>
      <c r="B225" s="1">
        <v>46012</v>
      </c>
      <c r="C225" t="s">
        <v>69</v>
      </c>
      <c r="D225" t="s">
        <v>64</v>
      </c>
      <c r="E225" t="s">
        <v>34</v>
      </c>
      <c r="F225" t="s">
        <v>16</v>
      </c>
      <c r="G225" t="s">
        <v>22</v>
      </c>
      <c r="H225">
        <v>1</v>
      </c>
      <c r="I225">
        <v>118.13</v>
      </c>
      <c r="J225">
        <v>0.1</v>
      </c>
      <c r="K225" t="s">
        <v>53</v>
      </c>
      <c r="L225">
        <v>85.82</v>
      </c>
      <c r="M225">
        <f t="shared" si="9"/>
        <v>106.31699999999999</v>
      </c>
      <c r="N225">
        <f t="shared" si="10"/>
        <v>20.497</v>
      </c>
      <c r="O225" t="str">
        <f t="shared" si="11"/>
        <v>North</v>
      </c>
    </row>
    <row r="226" spans="1:15" x14ac:dyDescent="0.3">
      <c r="A226" t="s">
        <v>286</v>
      </c>
      <c r="B226" s="1">
        <v>46018</v>
      </c>
      <c r="C226" t="s">
        <v>79</v>
      </c>
      <c r="D226" t="s">
        <v>61</v>
      </c>
      <c r="E226" t="s">
        <v>34</v>
      </c>
      <c r="F226" t="s">
        <v>16</v>
      </c>
      <c r="G226" t="s">
        <v>22</v>
      </c>
      <c r="H226">
        <v>7</v>
      </c>
      <c r="I226">
        <v>57.61</v>
      </c>
      <c r="J226">
        <v>0.2</v>
      </c>
      <c r="K226" t="s">
        <v>30</v>
      </c>
      <c r="L226">
        <v>46.04</v>
      </c>
      <c r="M226">
        <f t="shared" si="9"/>
        <v>322.61599999999999</v>
      </c>
      <c r="N226">
        <f t="shared" si="10"/>
        <v>276.57599999999996</v>
      </c>
      <c r="O226" t="str">
        <f t="shared" si="11"/>
        <v>North</v>
      </c>
    </row>
    <row r="227" spans="1:15" x14ac:dyDescent="0.3">
      <c r="A227" t="s">
        <v>287</v>
      </c>
      <c r="B227" s="1">
        <v>45890</v>
      </c>
      <c r="C227" t="s">
        <v>104</v>
      </c>
      <c r="D227" t="s">
        <v>39</v>
      </c>
      <c r="E227" t="s">
        <v>27</v>
      </c>
      <c r="F227" t="s">
        <v>35</v>
      </c>
      <c r="G227" t="s">
        <v>65</v>
      </c>
      <c r="H227">
        <v>4</v>
      </c>
      <c r="I227">
        <v>261.36</v>
      </c>
      <c r="J227">
        <v>0.05</v>
      </c>
      <c r="K227" t="s">
        <v>23</v>
      </c>
      <c r="L227">
        <v>177.49</v>
      </c>
      <c r="M227">
        <f t="shared" si="9"/>
        <v>993.16800000000001</v>
      </c>
      <c r="N227">
        <f t="shared" si="10"/>
        <v>815.678</v>
      </c>
      <c r="O227" t="str">
        <f t="shared" si="11"/>
        <v>East</v>
      </c>
    </row>
    <row r="228" spans="1:15" x14ac:dyDescent="0.3">
      <c r="A228" t="s">
        <v>288</v>
      </c>
      <c r="B228" s="1">
        <v>45963</v>
      </c>
      <c r="C228" t="s">
        <v>37</v>
      </c>
      <c r="D228" t="s">
        <v>61</v>
      </c>
      <c r="E228" t="s">
        <v>34</v>
      </c>
      <c r="F228" t="s">
        <v>28</v>
      </c>
      <c r="G228" t="s">
        <v>17</v>
      </c>
      <c r="H228">
        <v>4</v>
      </c>
      <c r="I228">
        <v>98.16</v>
      </c>
      <c r="J228">
        <v>0.05</v>
      </c>
      <c r="K228" t="s">
        <v>30</v>
      </c>
      <c r="L228">
        <v>72.02</v>
      </c>
      <c r="M228">
        <f t="shared" si="9"/>
        <v>373.00799999999998</v>
      </c>
      <c r="N228">
        <f t="shared" si="10"/>
        <v>300.988</v>
      </c>
      <c r="O228" t="str">
        <f t="shared" si="11"/>
        <v>West</v>
      </c>
    </row>
    <row r="229" spans="1:15" x14ac:dyDescent="0.3">
      <c r="A229" t="s">
        <v>289</v>
      </c>
      <c r="B229" s="1">
        <v>45916</v>
      </c>
      <c r="C229" t="s">
        <v>48</v>
      </c>
      <c r="D229" t="s">
        <v>14</v>
      </c>
      <c r="E229" t="s">
        <v>15</v>
      </c>
      <c r="F229" t="s">
        <v>21</v>
      </c>
      <c r="G229" t="s">
        <v>49</v>
      </c>
      <c r="H229">
        <v>2</v>
      </c>
      <c r="I229">
        <v>666.9</v>
      </c>
      <c r="J229">
        <v>0</v>
      </c>
      <c r="K229" t="s">
        <v>30</v>
      </c>
      <c r="L229">
        <v>516.03</v>
      </c>
      <c r="M229">
        <f t="shared" si="9"/>
        <v>1333.8</v>
      </c>
      <c r="N229">
        <f t="shared" si="10"/>
        <v>817.77</v>
      </c>
      <c r="O229" t="str">
        <f t="shared" si="11"/>
        <v>South</v>
      </c>
    </row>
    <row r="230" spans="1:15" x14ac:dyDescent="0.3">
      <c r="A230" t="s">
        <v>290</v>
      </c>
      <c r="B230" s="1">
        <v>45919</v>
      </c>
      <c r="C230" t="s">
        <v>73</v>
      </c>
      <c r="D230" t="s">
        <v>46</v>
      </c>
      <c r="E230" t="s">
        <v>15</v>
      </c>
      <c r="F230" t="s">
        <v>16</v>
      </c>
      <c r="G230" t="s">
        <v>65</v>
      </c>
      <c r="H230">
        <v>4</v>
      </c>
      <c r="I230">
        <v>332.55</v>
      </c>
      <c r="J230">
        <v>0.2</v>
      </c>
      <c r="K230" t="s">
        <v>44</v>
      </c>
      <c r="L230">
        <v>226.79</v>
      </c>
      <c r="M230">
        <f t="shared" si="9"/>
        <v>1064.1600000000001</v>
      </c>
      <c r="N230">
        <f t="shared" si="10"/>
        <v>837.37000000000012</v>
      </c>
      <c r="O230" t="str">
        <f t="shared" si="11"/>
        <v>North</v>
      </c>
    </row>
    <row r="231" spans="1:15" x14ac:dyDescent="0.3">
      <c r="A231" t="s">
        <v>291</v>
      </c>
      <c r="B231" s="1">
        <v>46002</v>
      </c>
      <c r="C231" t="s">
        <v>79</v>
      </c>
      <c r="D231" t="s">
        <v>46</v>
      </c>
      <c r="E231" t="s">
        <v>15</v>
      </c>
      <c r="F231" t="s">
        <v>16</v>
      </c>
      <c r="G231" t="s">
        <v>65</v>
      </c>
      <c r="H231">
        <v>10</v>
      </c>
      <c r="I231">
        <v>324.63</v>
      </c>
      <c r="J231">
        <v>0</v>
      </c>
      <c r="K231" t="s">
        <v>30</v>
      </c>
      <c r="L231">
        <v>227.53</v>
      </c>
      <c r="M231">
        <f t="shared" si="9"/>
        <v>3246.3</v>
      </c>
      <c r="N231">
        <f t="shared" si="10"/>
        <v>3018.77</v>
      </c>
      <c r="O231" t="str">
        <f t="shared" si="11"/>
        <v>North</v>
      </c>
    </row>
    <row r="232" spans="1:15" x14ac:dyDescent="0.3">
      <c r="A232" t="s">
        <v>292</v>
      </c>
      <c r="B232" s="1">
        <v>45834</v>
      </c>
      <c r="C232" t="s">
        <v>37</v>
      </c>
      <c r="D232" t="s">
        <v>20</v>
      </c>
      <c r="E232" t="s">
        <v>15</v>
      </c>
      <c r="F232" t="s">
        <v>16</v>
      </c>
      <c r="G232" t="s">
        <v>40</v>
      </c>
      <c r="H232">
        <v>10</v>
      </c>
      <c r="I232">
        <v>836.45</v>
      </c>
      <c r="J232">
        <v>0</v>
      </c>
      <c r="K232" t="s">
        <v>18</v>
      </c>
      <c r="L232">
        <v>470.28</v>
      </c>
      <c r="M232">
        <f t="shared" si="9"/>
        <v>8364.5</v>
      </c>
      <c r="N232">
        <f t="shared" si="10"/>
        <v>7894.22</v>
      </c>
      <c r="O232" t="str">
        <f t="shared" si="11"/>
        <v>North</v>
      </c>
    </row>
    <row r="233" spans="1:15" x14ac:dyDescent="0.3">
      <c r="A233" t="s">
        <v>293</v>
      </c>
      <c r="B233" s="1">
        <v>45988</v>
      </c>
      <c r="C233" t="s">
        <v>100</v>
      </c>
      <c r="D233" t="s">
        <v>20</v>
      </c>
      <c r="E233" t="s">
        <v>15</v>
      </c>
      <c r="F233" t="s">
        <v>35</v>
      </c>
      <c r="G233" t="s">
        <v>65</v>
      </c>
      <c r="H233">
        <v>3</v>
      </c>
      <c r="I233">
        <v>721.77</v>
      </c>
      <c r="J233">
        <v>0.05</v>
      </c>
      <c r="K233" t="s">
        <v>18</v>
      </c>
      <c r="L233">
        <v>546.22</v>
      </c>
      <c r="M233">
        <f t="shared" si="9"/>
        <v>2057.0445</v>
      </c>
      <c r="N233">
        <f t="shared" si="10"/>
        <v>1510.8244999999999</v>
      </c>
      <c r="O233" t="str">
        <f t="shared" si="11"/>
        <v>East</v>
      </c>
    </row>
    <row r="234" spans="1:15" x14ac:dyDescent="0.3">
      <c r="A234" t="s">
        <v>294</v>
      </c>
      <c r="B234" s="1">
        <v>45836</v>
      </c>
      <c r="C234" t="s">
        <v>76</v>
      </c>
      <c r="D234" t="s">
        <v>26</v>
      </c>
      <c r="E234" t="s">
        <v>27</v>
      </c>
      <c r="F234" t="s">
        <v>21</v>
      </c>
      <c r="G234" t="s">
        <v>17</v>
      </c>
      <c r="H234">
        <v>9</v>
      </c>
      <c r="I234">
        <v>175.13</v>
      </c>
      <c r="J234">
        <v>0.05</v>
      </c>
      <c r="K234" t="s">
        <v>18</v>
      </c>
      <c r="L234">
        <v>127.22</v>
      </c>
      <c r="M234">
        <f t="shared" si="9"/>
        <v>1497.3615</v>
      </c>
      <c r="N234">
        <f t="shared" si="10"/>
        <v>1370.1415</v>
      </c>
      <c r="O234" t="str">
        <f t="shared" si="11"/>
        <v>South</v>
      </c>
    </row>
    <row r="235" spans="1:15" x14ac:dyDescent="0.3">
      <c r="A235" t="s">
        <v>295</v>
      </c>
      <c r="B235" s="1">
        <v>45810</v>
      </c>
      <c r="C235" t="s">
        <v>73</v>
      </c>
      <c r="D235" t="s">
        <v>46</v>
      </c>
      <c r="E235" t="s">
        <v>15</v>
      </c>
      <c r="F235" t="s">
        <v>28</v>
      </c>
      <c r="G235" t="s">
        <v>17</v>
      </c>
      <c r="H235">
        <v>4</v>
      </c>
      <c r="I235">
        <v>238.2</v>
      </c>
      <c r="J235">
        <v>0</v>
      </c>
      <c r="K235" t="s">
        <v>18</v>
      </c>
      <c r="L235">
        <v>179.64</v>
      </c>
      <c r="M235">
        <f t="shared" si="9"/>
        <v>952.8</v>
      </c>
      <c r="N235">
        <f t="shared" si="10"/>
        <v>773.16</v>
      </c>
      <c r="O235" t="str">
        <f t="shared" si="11"/>
        <v>West</v>
      </c>
    </row>
    <row r="236" spans="1:15" x14ac:dyDescent="0.3">
      <c r="A236" t="s">
        <v>296</v>
      </c>
      <c r="B236" s="1">
        <v>45715</v>
      </c>
      <c r="C236" t="s">
        <v>125</v>
      </c>
      <c r="D236" t="s">
        <v>70</v>
      </c>
      <c r="E236" t="s">
        <v>34</v>
      </c>
      <c r="F236" t="s">
        <v>28</v>
      </c>
      <c r="G236" t="s">
        <v>17</v>
      </c>
      <c r="H236">
        <v>6</v>
      </c>
      <c r="I236">
        <v>43.56</v>
      </c>
      <c r="J236">
        <v>0.05</v>
      </c>
      <c r="K236" t="s">
        <v>53</v>
      </c>
      <c r="L236">
        <v>27.2</v>
      </c>
      <c r="M236">
        <f t="shared" si="9"/>
        <v>248.292</v>
      </c>
      <c r="N236">
        <f t="shared" si="10"/>
        <v>221.09200000000001</v>
      </c>
      <c r="O236" t="str">
        <f t="shared" si="11"/>
        <v>West</v>
      </c>
    </row>
    <row r="237" spans="1:15" x14ac:dyDescent="0.3">
      <c r="A237" t="s">
        <v>297</v>
      </c>
      <c r="B237" s="1">
        <v>45964</v>
      </c>
      <c r="C237" t="s">
        <v>125</v>
      </c>
      <c r="D237" t="s">
        <v>70</v>
      </c>
      <c r="E237" t="s">
        <v>34</v>
      </c>
      <c r="F237" t="s">
        <v>21</v>
      </c>
      <c r="G237" t="s">
        <v>22</v>
      </c>
      <c r="H237">
        <v>2</v>
      </c>
      <c r="I237">
        <v>40.46</v>
      </c>
      <c r="J237">
        <v>0.2</v>
      </c>
      <c r="K237" t="s">
        <v>53</v>
      </c>
      <c r="L237">
        <v>22.62</v>
      </c>
      <c r="M237">
        <f t="shared" si="9"/>
        <v>64.736000000000004</v>
      </c>
      <c r="N237">
        <f t="shared" si="10"/>
        <v>42.116</v>
      </c>
      <c r="O237" t="str">
        <f t="shared" si="11"/>
        <v>South</v>
      </c>
    </row>
    <row r="238" spans="1:15" x14ac:dyDescent="0.3">
      <c r="A238" t="s">
        <v>298</v>
      </c>
      <c r="B238" s="1">
        <v>45686</v>
      </c>
      <c r="C238" t="s">
        <v>92</v>
      </c>
      <c r="D238" t="s">
        <v>26</v>
      </c>
      <c r="E238" t="s">
        <v>27</v>
      </c>
      <c r="F238" t="s">
        <v>35</v>
      </c>
      <c r="G238" t="s">
        <v>49</v>
      </c>
      <c r="H238">
        <v>9</v>
      </c>
      <c r="I238">
        <v>187.79</v>
      </c>
      <c r="J238">
        <v>0.05</v>
      </c>
      <c r="K238" t="s">
        <v>23</v>
      </c>
      <c r="L238">
        <v>141.53</v>
      </c>
      <c r="M238">
        <f t="shared" si="9"/>
        <v>1605.6044999999999</v>
      </c>
      <c r="N238">
        <f t="shared" si="10"/>
        <v>1464.0744999999999</v>
      </c>
      <c r="O238" t="str">
        <f t="shared" si="11"/>
        <v>East</v>
      </c>
    </row>
    <row r="239" spans="1:15" x14ac:dyDescent="0.3">
      <c r="A239" t="s">
        <v>299</v>
      </c>
      <c r="B239" s="1">
        <v>45731</v>
      </c>
      <c r="C239" t="s">
        <v>52</v>
      </c>
      <c r="D239" t="s">
        <v>39</v>
      </c>
      <c r="E239" t="s">
        <v>27</v>
      </c>
      <c r="F239" t="s">
        <v>21</v>
      </c>
      <c r="G239" t="s">
        <v>65</v>
      </c>
      <c r="H239">
        <v>6</v>
      </c>
      <c r="I239">
        <v>252.82</v>
      </c>
      <c r="J239">
        <v>0.05</v>
      </c>
      <c r="K239" t="s">
        <v>30</v>
      </c>
      <c r="L239">
        <v>159.65</v>
      </c>
      <c r="M239">
        <f t="shared" si="9"/>
        <v>1441.0740000000001</v>
      </c>
      <c r="N239">
        <f t="shared" si="10"/>
        <v>1281.424</v>
      </c>
      <c r="O239" t="str">
        <f t="shared" si="11"/>
        <v>South</v>
      </c>
    </row>
    <row r="240" spans="1:15" x14ac:dyDescent="0.3">
      <c r="A240" t="s">
        <v>300</v>
      </c>
      <c r="B240" s="1">
        <v>45876</v>
      </c>
      <c r="C240" t="s">
        <v>13</v>
      </c>
      <c r="D240" t="s">
        <v>43</v>
      </c>
      <c r="E240" t="s">
        <v>15</v>
      </c>
      <c r="F240" t="s">
        <v>28</v>
      </c>
      <c r="G240" t="s">
        <v>40</v>
      </c>
      <c r="H240">
        <v>10</v>
      </c>
      <c r="I240">
        <v>165.24</v>
      </c>
      <c r="J240">
        <v>0.05</v>
      </c>
      <c r="K240" t="s">
        <v>30</v>
      </c>
      <c r="L240">
        <v>118.81</v>
      </c>
      <c r="M240">
        <f t="shared" si="9"/>
        <v>1569.78</v>
      </c>
      <c r="N240">
        <f t="shared" si="10"/>
        <v>1450.97</v>
      </c>
      <c r="O240" t="str">
        <f t="shared" si="11"/>
        <v>West</v>
      </c>
    </row>
    <row r="241" spans="1:15" x14ac:dyDescent="0.3">
      <c r="A241" t="s">
        <v>301</v>
      </c>
      <c r="B241" s="1">
        <v>45811</v>
      </c>
      <c r="C241" t="s">
        <v>55</v>
      </c>
      <c r="D241" t="s">
        <v>26</v>
      </c>
      <c r="E241" t="s">
        <v>27</v>
      </c>
      <c r="F241" t="s">
        <v>21</v>
      </c>
      <c r="G241" t="s">
        <v>17</v>
      </c>
      <c r="H241">
        <v>6</v>
      </c>
      <c r="I241">
        <v>257.16000000000003</v>
      </c>
      <c r="J241">
        <v>0.15</v>
      </c>
      <c r="K241" t="s">
        <v>18</v>
      </c>
      <c r="L241">
        <v>169.78</v>
      </c>
      <c r="M241">
        <f t="shared" si="9"/>
        <v>1311.5160000000001</v>
      </c>
      <c r="N241">
        <f t="shared" si="10"/>
        <v>1141.7360000000001</v>
      </c>
      <c r="O241" t="str">
        <f t="shared" si="11"/>
        <v>South</v>
      </c>
    </row>
    <row r="242" spans="1:15" x14ac:dyDescent="0.3">
      <c r="A242" t="s">
        <v>302</v>
      </c>
      <c r="B242" s="1">
        <v>45687</v>
      </c>
      <c r="C242" t="s">
        <v>13</v>
      </c>
      <c r="D242" t="s">
        <v>70</v>
      </c>
      <c r="E242" t="s">
        <v>34</v>
      </c>
      <c r="F242" t="s">
        <v>28</v>
      </c>
      <c r="G242" t="s">
        <v>65</v>
      </c>
      <c r="H242">
        <v>5</v>
      </c>
      <c r="I242">
        <v>88.7</v>
      </c>
      <c r="J242">
        <v>0.05</v>
      </c>
      <c r="K242" t="s">
        <v>23</v>
      </c>
      <c r="L242">
        <v>68.08</v>
      </c>
      <c r="M242">
        <f t="shared" si="9"/>
        <v>421.32499999999999</v>
      </c>
      <c r="N242">
        <f t="shared" si="10"/>
        <v>353.245</v>
      </c>
      <c r="O242" t="str">
        <f t="shared" si="11"/>
        <v>West</v>
      </c>
    </row>
    <row r="243" spans="1:15" x14ac:dyDescent="0.3">
      <c r="A243" t="s">
        <v>303</v>
      </c>
      <c r="B243" s="1">
        <v>45989</v>
      </c>
      <c r="C243" t="s">
        <v>37</v>
      </c>
      <c r="D243" t="s">
        <v>46</v>
      </c>
      <c r="E243" t="s">
        <v>15</v>
      </c>
      <c r="F243" t="s">
        <v>28</v>
      </c>
      <c r="G243" t="s">
        <v>29</v>
      </c>
      <c r="H243">
        <v>4</v>
      </c>
      <c r="I243">
        <v>240.23</v>
      </c>
      <c r="J243">
        <v>0.1</v>
      </c>
      <c r="K243" t="s">
        <v>53</v>
      </c>
      <c r="L243">
        <v>145.32</v>
      </c>
      <c r="M243">
        <f t="shared" si="9"/>
        <v>864.82799999999997</v>
      </c>
      <c r="N243">
        <f t="shared" si="10"/>
        <v>719.50800000000004</v>
      </c>
      <c r="O243" t="str">
        <f t="shared" si="11"/>
        <v>West</v>
      </c>
    </row>
    <row r="244" spans="1:15" x14ac:dyDescent="0.3">
      <c r="A244" t="s">
        <v>304</v>
      </c>
      <c r="B244" s="1">
        <v>46002</v>
      </c>
      <c r="C244" t="s">
        <v>104</v>
      </c>
      <c r="D244" t="s">
        <v>46</v>
      </c>
      <c r="E244" t="s">
        <v>15</v>
      </c>
      <c r="F244" t="s">
        <v>16</v>
      </c>
      <c r="G244" t="s">
        <v>40</v>
      </c>
      <c r="H244">
        <v>4</v>
      </c>
      <c r="I244">
        <v>417.38</v>
      </c>
      <c r="J244">
        <v>0</v>
      </c>
      <c r="K244" t="s">
        <v>44</v>
      </c>
      <c r="L244">
        <v>259.81</v>
      </c>
      <c r="M244">
        <f t="shared" si="9"/>
        <v>1669.52</v>
      </c>
      <c r="N244">
        <f t="shared" si="10"/>
        <v>1409.71</v>
      </c>
      <c r="O244" t="str">
        <f t="shared" si="11"/>
        <v>North</v>
      </c>
    </row>
    <row r="245" spans="1:15" x14ac:dyDescent="0.3">
      <c r="A245" t="s">
        <v>305</v>
      </c>
      <c r="B245" s="1">
        <v>45828</v>
      </c>
      <c r="C245" t="s">
        <v>79</v>
      </c>
      <c r="D245" t="s">
        <v>64</v>
      </c>
      <c r="E245" t="s">
        <v>34</v>
      </c>
      <c r="F245" t="s">
        <v>16</v>
      </c>
      <c r="G245" t="s">
        <v>49</v>
      </c>
      <c r="H245">
        <v>9</v>
      </c>
      <c r="I245">
        <v>118.3</v>
      </c>
      <c r="J245">
        <v>0.05</v>
      </c>
      <c r="K245" t="s">
        <v>44</v>
      </c>
      <c r="L245">
        <v>80.38</v>
      </c>
      <c r="M245">
        <f t="shared" si="9"/>
        <v>1011.465</v>
      </c>
      <c r="N245">
        <f t="shared" si="10"/>
        <v>931.08500000000004</v>
      </c>
      <c r="O245" t="str">
        <f t="shared" si="11"/>
        <v>North</v>
      </c>
    </row>
    <row r="246" spans="1:15" x14ac:dyDescent="0.3">
      <c r="A246" t="s">
        <v>306</v>
      </c>
      <c r="B246" s="1">
        <v>46018</v>
      </c>
      <c r="C246" t="s">
        <v>48</v>
      </c>
      <c r="D246" t="s">
        <v>14</v>
      </c>
      <c r="E246" t="s">
        <v>15</v>
      </c>
      <c r="F246" t="s">
        <v>28</v>
      </c>
      <c r="G246" t="s">
        <v>49</v>
      </c>
      <c r="H246">
        <v>8</v>
      </c>
      <c r="I246">
        <v>598.75</v>
      </c>
      <c r="J246">
        <v>0.05</v>
      </c>
      <c r="K246" t="s">
        <v>23</v>
      </c>
      <c r="L246">
        <v>441.77</v>
      </c>
      <c r="M246">
        <f t="shared" si="9"/>
        <v>4550.5</v>
      </c>
      <c r="N246">
        <f t="shared" si="10"/>
        <v>4108.7299999999996</v>
      </c>
      <c r="O246" t="str">
        <f t="shared" si="11"/>
        <v>West</v>
      </c>
    </row>
    <row r="247" spans="1:15" x14ac:dyDescent="0.3">
      <c r="A247" t="s">
        <v>307</v>
      </c>
      <c r="B247" s="1">
        <v>45841</v>
      </c>
      <c r="C247" t="s">
        <v>79</v>
      </c>
      <c r="D247" t="s">
        <v>39</v>
      </c>
      <c r="E247" t="s">
        <v>27</v>
      </c>
      <c r="F247" t="s">
        <v>35</v>
      </c>
      <c r="G247" t="s">
        <v>29</v>
      </c>
      <c r="H247">
        <v>7</v>
      </c>
      <c r="I247">
        <v>298.37</v>
      </c>
      <c r="J247">
        <v>0.15</v>
      </c>
      <c r="K247" t="s">
        <v>23</v>
      </c>
      <c r="L247">
        <v>207.09</v>
      </c>
      <c r="M247">
        <f t="shared" si="9"/>
        <v>1775.3015</v>
      </c>
      <c r="N247">
        <f t="shared" si="10"/>
        <v>1568.2115000000001</v>
      </c>
      <c r="O247" t="str">
        <f t="shared" si="11"/>
        <v>East</v>
      </c>
    </row>
    <row r="248" spans="1:15" x14ac:dyDescent="0.3">
      <c r="A248" t="s">
        <v>308</v>
      </c>
      <c r="B248" s="1">
        <v>45847</v>
      </c>
      <c r="C248" t="s">
        <v>67</v>
      </c>
      <c r="D248" t="s">
        <v>61</v>
      </c>
      <c r="E248" t="s">
        <v>34</v>
      </c>
      <c r="F248" t="s">
        <v>28</v>
      </c>
      <c r="G248" t="s">
        <v>40</v>
      </c>
      <c r="H248">
        <v>8</v>
      </c>
      <c r="I248">
        <v>71.94</v>
      </c>
      <c r="J248">
        <v>0.1</v>
      </c>
      <c r="K248" t="s">
        <v>23</v>
      </c>
      <c r="L248">
        <v>57.33</v>
      </c>
      <c r="M248">
        <f t="shared" si="9"/>
        <v>517.96799999999996</v>
      </c>
      <c r="N248">
        <f t="shared" si="10"/>
        <v>460.63799999999998</v>
      </c>
      <c r="O248" t="str">
        <f t="shared" si="11"/>
        <v>West</v>
      </c>
    </row>
    <row r="249" spans="1:15" x14ac:dyDescent="0.3">
      <c r="A249" t="s">
        <v>309</v>
      </c>
      <c r="B249" s="1">
        <v>45957</v>
      </c>
      <c r="C249" t="s">
        <v>60</v>
      </c>
      <c r="D249" t="s">
        <v>70</v>
      </c>
      <c r="E249" t="s">
        <v>34</v>
      </c>
      <c r="F249" t="s">
        <v>28</v>
      </c>
      <c r="G249" t="s">
        <v>29</v>
      </c>
      <c r="H249">
        <v>1</v>
      </c>
      <c r="I249">
        <v>80.59</v>
      </c>
      <c r="J249">
        <v>0.1</v>
      </c>
      <c r="K249" t="s">
        <v>44</v>
      </c>
      <c r="L249">
        <v>56.36</v>
      </c>
      <c r="M249">
        <f t="shared" si="9"/>
        <v>72.531000000000006</v>
      </c>
      <c r="N249">
        <f t="shared" si="10"/>
        <v>16.171000000000006</v>
      </c>
      <c r="O249" t="str">
        <f t="shared" si="11"/>
        <v>West</v>
      </c>
    </row>
    <row r="250" spans="1:15" x14ac:dyDescent="0.3">
      <c r="A250" t="s">
        <v>310</v>
      </c>
      <c r="B250" s="1">
        <v>45913</v>
      </c>
      <c r="C250" t="s">
        <v>13</v>
      </c>
      <c r="D250" t="s">
        <v>70</v>
      </c>
      <c r="E250" t="s">
        <v>34</v>
      </c>
      <c r="F250" t="s">
        <v>35</v>
      </c>
      <c r="G250" t="s">
        <v>29</v>
      </c>
      <c r="H250">
        <v>7</v>
      </c>
      <c r="I250">
        <v>49.74</v>
      </c>
      <c r="J250">
        <v>0.2</v>
      </c>
      <c r="K250" t="s">
        <v>18</v>
      </c>
      <c r="L250">
        <v>38.549999999999997</v>
      </c>
      <c r="M250">
        <f t="shared" si="9"/>
        <v>278.54400000000004</v>
      </c>
      <c r="N250">
        <f t="shared" si="10"/>
        <v>239.99400000000003</v>
      </c>
      <c r="O250" t="str">
        <f t="shared" si="11"/>
        <v>East</v>
      </c>
    </row>
    <row r="251" spans="1:15" x14ac:dyDescent="0.3">
      <c r="A251" t="s">
        <v>311</v>
      </c>
      <c r="B251" s="1">
        <v>45937</v>
      </c>
      <c r="C251" t="s">
        <v>108</v>
      </c>
      <c r="D251" t="s">
        <v>61</v>
      </c>
      <c r="E251" t="s">
        <v>34</v>
      </c>
      <c r="F251" t="s">
        <v>21</v>
      </c>
      <c r="G251" t="s">
        <v>17</v>
      </c>
      <c r="H251">
        <v>6</v>
      </c>
      <c r="I251">
        <v>71.47</v>
      </c>
      <c r="J251">
        <v>0.05</v>
      </c>
      <c r="K251" t="s">
        <v>53</v>
      </c>
      <c r="L251">
        <v>42.01</v>
      </c>
      <c r="M251">
        <f t="shared" si="9"/>
        <v>407.37899999999996</v>
      </c>
      <c r="N251">
        <f t="shared" si="10"/>
        <v>365.36899999999997</v>
      </c>
      <c r="O251" t="str">
        <f t="shared" si="11"/>
        <v>South</v>
      </c>
    </row>
    <row r="252" spans="1:15" x14ac:dyDescent="0.3">
      <c r="A252" t="s">
        <v>312</v>
      </c>
      <c r="B252" s="1">
        <v>45869</v>
      </c>
      <c r="C252" t="s">
        <v>92</v>
      </c>
      <c r="D252" t="s">
        <v>46</v>
      </c>
      <c r="E252" t="s">
        <v>15</v>
      </c>
      <c r="F252" t="s">
        <v>21</v>
      </c>
      <c r="G252" t="s">
        <v>40</v>
      </c>
      <c r="H252">
        <v>2</v>
      </c>
      <c r="I252">
        <v>210.15</v>
      </c>
      <c r="J252">
        <v>0</v>
      </c>
      <c r="K252" t="s">
        <v>44</v>
      </c>
      <c r="L252">
        <v>158.94999999999999</v>
      </c>
      <c r="M252">
        <f t="shared" si="9"/>
        <v>420.3</v>
      </c>
      <c r="N252">
        <f t="shared" si="10"/>
        <v>261.35000000000002</v>
      </c>
      <c r="O252" t="str">
        <f t="shared" si="11"/>
        <v>South</v>
      </c>
    </row>
    <row r="253" spans="1:15" x14ac:dyDescent="0.3">
      <c r="A253" t="s">
        <v>313</v>
      </c>
      <c r="B253" s="1">
        <v>45984</v>
      </c>
      <c r="C253" t="s">
        <v>104</v>
      </c>
      <c r="D253" t="s">
        <v>20</v>
      </c>
      <c r="E253" t="s">
        <v>15</v>
      </c>
      <c r="F253" t="s">
        <v>28</v>
      </c>
      <c r="G253" t="s">
        <v>22</v>
      </c>
      <c r="H253">
        <v>8</v>
      </c>
      <c r="I253">
        <v>704.68</v>
      </c>
      <c r="J253">
        <v>0.1</v>
      </c>
      <c r="K253" t="s">
        <v>18</v>
      </c>
      <c r="L253">
        <v>399.08</v>
      </c>
      <c r="M253">
        <f t="shared" si="9"/>
        <v>5073.6959999999999</v>
      </c>
      <c r="N253">
        <f t="shared" si="10"/>
        <v>4674.616</v>
      </c>
      <c r="O253" t="str">
        <f t="shared" si="11"/>
        <v>West</v>
      </c>
    </row>
    <row r="254" spans="1:15" x14ac:dyDescent="0.3">
      <c r="A254" t="s">
        <v>314</v>
      </c>
      <c r="B254" s="1">
        <v>45929</v>
      </c>
      <c r="C254" t="s">
        <v>42</v>
      </c>
      <c r="D254" t="s">
        <v>20</v>
      </c>
      <c r="E254" t="s">
        <v>15</v>
      </c>
      <c r="F254" t="s">
        <v>35</v>
      </c>
      <c r="G254" t="s">
        <v>40</v>
      </c>
      <c r="H254">
        <v>9</v>
      </c>
      <c r="I254">
        <v>651.65</v>
      </c>
      <c r="J254">
        <v>0.15</v>
      </c>
      <c r="K254" t="s">
        <v>23</v>
      </c>
      <c r="L254">
        <v>360.49</v>
      </c>
      <c r="M254">
        <f t="shared" si="9"/>
        <v>4985.1224999999995</v>
      </c>
      <c r="N254">
        <f t="shared" si="10"/>
        <v>4624.6324999999997</v>
      </c>
      <c r="O254" t="str">
        <f t="shared" si="11"/>
        <v>East</v>
      </c>
    </row>
    <row r="255" spans="1:15" x14ac:dyDescent="0.3">
      <c r="A255" t="s">
        <v>315</v>
      </c>
      <c r="B255" s="1">
        <v>45926</v>
      </c>
      <c r="C255" t="s">
        <v>92</v>
      </c>
      <c r="D255" t="s">
        <v>26</v>
      </c>
      <c r="E255" t="s">
        <v>27</v>
      </c>
      <c r="F255" t="s">
        <v>21</v>
      </c>
      <c r="G255" t="s">
        <v>49</v>
      </c>
      <c r="H255">
        <v>3</v>
      </c>
      <c r="I255">
        <v>261.23</v>
      </c>
      <c r="J255">
        <v>0</v>
      </c>
      <c r="K255" t="s">
        <v>23</v>
      </c>
      <c r="L255">
        <v>208.43</v>
      </c>
      <c r="M255">
        <f t="shared" si="9"/>
        <v>783.69</v>
      </c>
      <c r="N255">
        <f t="shared" si="10"/>
        <v>575.26</v>
      </c>
      <c r="O255" t="str">
        <f t="shared" si="11"/>
        <v>South</v>
      </c>
    </row>
    <row r="256" spans="1:15" x14ac:dyDescent="0.3">
      <c r="A256" t="s">
        <v>316</v>
      </c>
      <c r="B256" s="1">
        <v>45698</v>
      </c>
      <c r="C256" t="s">
        <v>32</v>
      </c>
      <c r="D256" t="s">
        <v>46</v>
      </c>
      <c r="E256" t="s">
        <v>15</v>
      </c>
      <c r="F256" t="s">
        <v>28</v>
      </c>
      <c r="G256" t="s">
        <v>65</v>
      </c>
      <c r="H256">
        <v>6</v>
      </c>
      <c r="I256">
        <v>275.73</v>
      </c>
      <c r="J256">
        <v>0.1</v>
      </c>
      <c r="K256" t="s">
        <v>23</v>
      </c>
      <c r="L256">
        <v>210.83</v>
      </c>
      <c r="M256">
        <f t="shared" si="9"/>
        <v>1488.9420000000002</v>
      </c>
      <c r="N256">
        <f t="shared" si="10"/>
        <v>1278.1120000000003</v>
      </c>
      <c r="O256" t="str">
        <f t="shared" si="11"/>
        <v>West</v>
      </c>
    </row>
    <row r="257" spans="1:15" x14ac:dyDescent="0.3">
      <c r="A257" t="s">
        <v>317</v>
      </c>
      <c r="B257" s="1">
        <v>45699</v>
      </c>
      <c r="C257" t="s">
        <v>125</v>
      </c>
      <c r="D257" t="s">
        <v>70</v>
      </c>
      <c r="E257" t="s">
        <v>34</v>
      </c>
      <c r="F257" t="s">
        <v>16</v>
      </c>
      <c r="G257" t="s">
        <v>65</v>
      </c>
      <c r="H257">
        <v>4</v>
      </c>
      <c r="I257">
        <v>99.27</v>
      </c>
      <c r="J257">
        <v>0.1</v>
      </c>
      <c r="K257" t="s">
        <v>18</v>
      </c>
      <c r="L257">
        <v>72.930000000000007</v>
      </c>
      <c r="M257">
        <f t="shared" si="9"/>
        <v>357.37200000000001</v>
      </c>
      <c r="N257">
        <f t="shared" si="10"/>
        <v>284.44200000000001</v>
      </c>
      <c r="O257" t="str">
        <f t="shared" si="11"/>
        <v>North</v>
      </c>
    </row>
    <row r="258" spans="1:15" x14ac:dyDescent="0.3">
      <c r="A258" t="s">
        <v>318</v>
      </c>
      <c r="B258" s="1">
        <v>45700</v>
      </c>
      <c r="C258" t="s">
        <v>108</v>
      </c>
      <c r="D258" t="s">
        <v>26</v>
      </c>
      <c r="E258" t="s">
        <v>27</v>
      </c>
      <c r="F258" t="s">
        <v>28</v>
      </c>
      <c r="G258" t="s">
        <v>22</v>
      </c>
      <c r="H258">
        <v>1</v>
      </c>
      <c r="I258">
        <v>210.54</v>
      </c>
      <c r="J258">
        <v>0</v>
      </c>
      <c r="K258" t="s">
        <v>30</v>
      </c>
      <c r="L258">
        <v>155.75</v>
      </c>
      <c r="M258">
        <f t="shared" ref="M258:M321" si="12">H258*I258*(1-J258)</f>
        <v>210.54</v>
      </c>
      <c r="N258">
        <f t="shared" ref="N258:N321" si="13">M258-L258</f>
        <v>54.789999999999992</v>
      </c>
      <c r="O258" t="str">
        <f t="shared" ref="O258:O321" si="14">TRIM(CLEAN(SUBSTITUTE(F258,CHAR(160)," ")))</f>
        <v>West</v>
      </c>
    </row>
    <row r="259" spans="1:15" x14ac:dyDescent="0.3">
      <c r="A259" t="s">
        <v>319</v>
      </c>
      <c r="B259" s="1">
        <v>45775</v>
      </c>
      <c r="C259" t="s">
        <v>48</v>
      </c>
      <c r="D259" t="s">
        <v>64</v>
      </c>
      <c r="E259" t="s">
        <v>34</v>
      </c>
      <c r="F259" t="s">
        <v>28</v>
      </c>
      <c r="G259" t="s">
        <v>29</v>
      </c>
      <c r="H259">
        <v>2</v>
      </c>
      <c r="I259">
        <v>147.38999999999999</v>
      </c>
      <c r="J259">
        <v>0.2</v>
      </c>
      <c r="K259" t="s">
        <v>53</v>
      </c>
      <c r="L259">
        <v>117.64</v>
      </c>
      <c r="M259">
        <f t="shared" si="12"/>
        <v>235.82399999999998</v>
      </c>
      <c r="N259">
        <f t="shared" si="13"/>
        <v>118.18399999999998</v>
      </c>
      <c r="O259" t="str">
        <f t="shared" si="14"/>
        <v>West</v>
      </c>
    </row>
    <row r="260" spans="1:15" x14ac:dyDescent="0.3">
      <c r="A260" t="s">
        <v>320</v>
      </c>
      <c r="B260" s="1">
        <v>45674</v>
      </c>
      <c r="C260" t="s">
        <v>25</v>
      </c>
      <c r="D260" t="s">
        <v>14</v>
      </c>
      <c r="E260" t="s">
        <v>15</v>
      </c>
      <c r="F260" t="s">
        <v>35</v>
      </c>
      <c r="G260" t="s">
        <v>40</v>
      </c>
      <c r="H260">
        <v>5</v>
      </c>
      <c r="I260">
        <v>573.77</v>
      </c>
      <c r="J260">
        <v>0.2</v>
      </c>
      <c r="K260" t="s">
        <v>44</v>
      </c>
      <c r="L260">
        <v>402.87</v>
      </c>
      <c r="M260">
        <f t="shared" si="12"/>
        <v>2295.08</v>
      </c>
      <c r="N260">
        <f t="shared" si="13"/>
        <v>1892.21</v>
      </c>
      <c r="O260" t="str">
        <f t="shared" si="14"/>
        <v>East</v>
      </c>
    </row>
    <row r="261" spans="1:15" x14ac:dyDescent="0.3">
      <c r="A261" t="s">
        <v>321</v>
      </c>
      <c r="B261" s="1">
        <v>45946</v>
      </c>
      <c r="C261" t="s">
        <v>69</v>
      </c>
      <c r="D261" t="s">
        <v>64</v>
      </c>
      <c r="E261" t="s">
        <v>34</v>
      </c>
      <c r="F261" t="s">
        <v>28</v>
      </c>
      <c r="G261" t="s">
        <v>22</v>
      </c>
      <c r="H261">
        <v>7</v>
      </c>
      <c r="I261">
        <v>51.58</v>
      </c>
      <c r="J261">
        <v>0</v>
      </c>
      <c r="K261" t="s">
        <v>23</v>
      </c>
      <c r="L261">
        <v>32.54</v>
      </c>
      <c r="M261">
        <f t="shared" si="12"/>
        <v>361.06</v>
      </c>
      <c r="N261">
        <f t="shared" si="13"/>
        <v>328.52</v>
      </c>
      <c r="O261" t="str">
        <f t="shared" si="14"/>
        <v>West</v>
      </c>
    </row>
    <row r="262" spans="1:15" x14ac:dyDescent="0.3">
      <c r="A262" t="s">
        <v>322</v>
      </c>
      <c r="B262" s="1">
        <v>45835</v>
      </c>
      <c r="C262" t="s">
        <v>125</v>
      </c>
      <c r="D262" t="s">
        <v>39</v>
      </c>
      <c r="E262" t="s">
        <v>27</v>
      </c>
      <c r="F262" t="s">
        <v>16</v>
      </c>
      <c r="G262" t="s">
        <v>65</v>
      </c>
      <c r="H262">
        <v>3</v>
      </c>
      <c r="I262">
        <v>208.28</v>
      </c>
      <c r="J262">
        <v>0</v>
      </c>
      <c r="K262" t="s">
        <v>44</v>
      </c>
      <c r="L262">
        <v>142.72</v>
      </c>
      <c r="M262">
        <f t="shared" si="12"/>
        <v>624.84</v>
      </c>
      <c r="N262">
        <f t="shared" si="13"/>
        <v>482.12</v>
      </c>
      <c r="O262" t="str">
        <f t="shared" si="14"/>
        <v>North</v>
      </c>
    </row>
    <row r="263" spans="1:15" x14ac:dyDescent="0.3">
      <c r="A263" t="s">
        <v>323</v>
      </c>
      <c r="B263" s="1">
        <v>45825</v>
      </c>
      <c r="C263" t="s">
        <v>85</v>
      </c>
      <c r="D263" t="s">
        <v>14</v>
      </c>
      <c r="E263" t="s">
        <v>15</v>
      </c>
      <c r="F263" t="s">
        <v>35</v>
      </c>
      <c r="G263" t="s">
        <v>65</v>
      </c>
      <c r="H263">
        <v>10</v>
      </c>
      <c r="I263">
        <v>436.24</v>
      </c>
      <c r="J263">
        <v>0.2</v>
      </c>
      <c r="K263" t="s">
        <v>18</v>
      </c>
      <c r="L263">
        <v>286.66000000000003</v>
      </c>
      <c r="M263">
        <f t="shared" si="12"/>
        <v>3489.92</v>
      </c>
      <c r="N263">
        <f t="shared" si="13"/>
        <v>3203.26</v>
      </c>
      <c r="O263" t="str">
        <f t="shared" si="14"/>
        <v>East</v>
      </c>
    </row>
    <row r="264" spans="1:15" x14ac:dyDescent="0.3">
      <c r="A264" t="s">
        <v>324</v>
      </c>
      <c r="B264" s="1">
        <v>45957</v>
      </c>
      <c r="C264" t="s">
        <v>55</v>
      </c>
      <c r="D264" t="s">
        <v>70</v>
      </c>
      <c r="E264" t="s">
        <v>34</v>
      </c>
      <c r="F264" t="s">
        <v>16</v>
      </c>
      <c r="G264" t="s">
        <v>17</v>
      </c>
      <c r="H264">
        <v>7</v>
      </c>
      <c r="I264">
        <v>51.69</v>
      </c>
      <c r="J264">
        <v>0.15</v>
      </c>
      <c r="K264" t="s">
        <v>30</v>
      </c>
      <c r="L264">
        <v>31.02</v>
      </c>
      <c r="M264">
        <f t="shared" si="12"/>
        <v>307.55549999999999</v>
      </c>
      <c r="N264">
        <f t="shared" si="13"/>
        <v>276.53550000000001</v>
      </c>
      <c r="O264" t="str">
        <f t="shared" si="14"/>
        <v>North</v>
      </c>
    </row>
    <row r="265" spans="1:15" x14ac:dyDescent="0.3">
      <c r="A265" t="s">
        <v>325</v>
      </c>
      <c r="B265" s="1">
        <v>46022</v>
      </c>
      <c r="C265" t="s">
        <v>92</v>
      </c>
      <c r="D265" t="s">
        <v>70</v>
      </c>
      <c r="E265" t="s">
        <v>34</v>
      </c>
      <c r="F265" t="s">
        <v>28</v>
      </c>
      <c r="G265" t="s">
        <v>29</v>
      </c>
      <c r="H265">
        <v>2</v>
      </c>
      <c r="I265">
        <v>78.48</v>
      </c>
      <c r="J265">
        <v>0.1</v>
      </c>
      <c r="K265" t="s">
        <v>30</v>
      </c>
      <c r="L265">
        <v>46.43</v>
      </c>
      <c r="M265">
        <f t="shared" si="12"/>
        <v>141.26400000000001</v>
      </c>
      <c r="N265">
        <f t="shared" si="13"/>
        <v>94.834000000000003</v>
      </c>
      <c r="O265" t="str">
        <f t="shared" si="14"/>
        <v>West</v>
      </c>
    </row>
    <row r="266" spans="1:15" x14ac:dyDescent="0.3">
      <c r="A266" t="s">
        <v>326</v>
      </c>
      <c r="B266" s="1">
        <v>45796</v>
      </c>
      <c r="C266" t="s">
        <v>76</v>
      </c>
      <c r="D266" t="s">
        <v>14</v>
      </c>
      <c r="E266" t="s">
        <v>15</v>
      </c>
      <c r="F266" t="s">
        <v>21</v>
      </c>
      <c r="G266" t="s">
        <v>40</v>
      </c>
      <c r="H266">
        <v>5</v>
      </c>
      <c r="I266">
        <v>336.61</v>
      </c>
      <c r="J266">
        <v>0.15</v>
      </c>
      <c r="K266" t="s">
        <v>44</v>
      </c>
      <c r="L266">
        <v>217.85</v>
      </c>
      <c r="M266">
        <f t="shared" si="12"/>
        <v>1430.5925000000002</v>
      </c>
      <c r="N266">
        <f t="shared" si="13"/>
        <v>1212.7425000000003</v>
      </c>
      <c r="O266" t="str">
        <f t="shared" si="14"/>
        <v>South</v>
      </c>
    </row>
    <row r="267" spans="1:15" x14ac:dyDescent="0.3">
      <c r="A267" t="s">
        <v>327</v>
      </c>
      <c r="B267" s="1">
        <v>45671</v>
      </c>
      <c r="C267" t="s">
        <v>37</v>
      </c>
      <c r="D267" t="s">
        <v>26</v>
      </c>
      <c r="E267" t="s">
        <v>27</v>
      </c>
      <c r="F267" t="s">
        <v>35</v>
      </c>
      <c r="G267" t="s">
        <v>17</v>
      </c>
      <c r="H267">
        <v>9</v>
      </c>
      <c r="I267">
        <v>189.77</v>
      </c>
      <c r="J267">
        <v>0.2</v>
      </c>
      <c r="K267" t="s">
        <v>53</v>
      </c>
      <c r="L267">
        <v>125.28</v>
      </c>
      <c r="M267">
        <f t="shared" si="12"/>
        <v>1366.3440000000001</v>
      </c>
      <c r="N267">
        <f t="shared" si="13"/>
        <v>1241.0640000000001</v>
      </c>
      <c r="O267" t="str">
        <f t="shared" si="14"/>
        <v>East</v>
      </c>
    </row>
    <row r="268" spans="1:15" x14ac:dyDescent="0.3">
      <c r="A268" t="s">
        <v>328</v>
      </c>
      <c r="B268" s="1">
        <v>45869</v>
      </c>
      <c r="C268" t="s">
        <v>55</v>
      </c>
      <c r="D268" t="s">
        <v>64</v>
      </c>
      <c r="E268" t="s">
        <v>34</v>
      </c>
      <c r="F268" t="s">
        <v>16</v>
      </c>
      <c r="G268" t="s">
        <v>22</v>
      </c>
      <c r="H268">
        <v>6</v>
      </c>
      <c r="I268">
        <v>103.78</v>
      </c>
      <c r="J268">
        <v>0.15</v>
      </c>
      <c r="K268" t="s">
        <v>23</v>
      </c>
      <c r="L268">
        <v>57.42</v>
      </c>
      <c r="M268">
        <f t="shared" si="12"/>
        <v>529.27800000000002</v>
      </c>
      <c r="N268">
        <f t="shared" si="13"/>
        <v>471.858</v>
      </c>
      <c r="O268" t="str">
        <f t="shared" si="14"/>
        <v>North</v>
      </c>
    </row>
    <row r="269" spans="1:15" x14ac:dyDescent="0.3">
      <c r="A269" t="s">
        <v>329</v>
      </c>
      <c r="B269" s="1">
        <v>45795</v>
      </c>
      <c r="C269" t="s">
        <v>79</v>
      </c>
      <c r="D269" t="s">
        <v>70</v>
      </c>
      <c r="E269" t="s">
        <v>34</v>
      </c>
      <c r="F269" t="s">
        <v>35</v>
      </c>
      <c r="G269" t="s">
        <v>65</v>
      </c>
      <c r="H269">
        <v>3</v>
      </c>
      <c r="I269">
        <v>67.900000000000006</v>
      </c>
      <c r="J269">
        <v>0.15</v>
      </c>
      <c r="K269" t="s">
        <v>44</v>
      </c>
      <c r="L269">
        <v>40.450000000000003</v>
      </c>
      <c r="M269">
        <f t="shared" si="12"/>
        <v>173.14500000000001</v>
      </c>
      <c r="N269">
        <f t="shared" si="13"/>
        <v>132.69499999999999</v>
      </c>
      <c r="O269" t="str">
        <f t="shared" si="14"/>
        <v>East</v>
      </c>
    </row>
    <row r="270" spans="1:15" x14ac:dyDescent="0.3">
      <c r="A270" t="s">
        <v>330</v>
      </c>
      <c r="B270" s="1">
        <v>45697</v>
      </c>
      <c r="C270" t="s">
        <v>32</v>
      </c>
      <c r="D270" t="s">
        <v>14</v>
      </c>
      <c r="E270" t="s">
        <v>15</v>
      </c>
      <c r="F270" t="s">
        <v>35</v>
      </c>
      <c r="G270" t="s">
        <v>49</v>
      </c>
      <c r="H270">
        <v>5</v>
      </c>
      <c r="I270">
        <v>366.88</v>
      </c>
      <c r="J270">
        <v>0.15</v>
      </c>
      <c r="K270" t="s">
        <v>18</v>
      </c>
      <c r="L270">
        <v>231.48</v>
      </c>
      <c r="M270">
        <f t="shared" si="12"/>
        <v>1559.24</v>
      </c>
      <c r="N270">
        <f t="shared" si="13"/>
        <v>1327.76</v>
      </c>
      <c r="O270" t="str">
        <f t="shared" si="14"/>
        <v>East</v>
      </c>
    </row>
    <row r="271" spans="1:15" x14ac:dyDescent="0.3">
      <c r="A271" t="s">
        <v>331</v>
      </c>
      <c r="B271" s="1">
        <v>45661</v>
      </c>
      <c r="C271" t="s">
        <v>55</v>
      </c>
      <c r="D271" t="s">
        <v>64</v>
      </c>
      <c r="E271" t="s">
        <v>34</v>
      </c>
      <c r="F271" t="s">
        <v>35</v>
      </c>
      <c r="G271" t="s">
        <v>17</v>
      </c>
      <c r="H271">
        <v>8</v>
      </c>
      <c r="I271">
        <v>105.92</v>
      </c>
      <c r="J271">
        <v>0</v>
      </c>
      <c r="K271" t="s">
        <v>18</v>
      </c>
      <c r="L271">
        <v>62.13</v>
      </c>
      <c r="M271">
        <f t="shared" si="12"/>
        <v>847.36</v>
      </c>
      <c r="N271">
        <f t="shared" si="13"/>
        <v>785.23</v>
      </c>
      <c r="O271" t="str">
        <f t="shared" si="14"/>
        <v>East</v>
      </c>
    </row>
    <row r="272" spans="1:15" x14ac:dyDescent="0.3">
      <c r="A272" t="s">
        <v>332</v>
      </c>
      <c r="B272" s="1">
        <v>45822</v>
      </c>
      <c r="C272" t="s">
        <v>104</v>
      </c>
      <c r="D272" t="s">
        <v>39</v>
      </c>
      <c r="E272" t="s">
        <v>27</v>
      </c>
      <c r="F272" t="s">
        <v>21</v>
      </c>
      <c r="G272" t="s">
        <v>65</v>
      </c>
      <c r="H272">
        <v>7</v>
      </c>
      <c r="I272">
        <v>221.25</v>
      </c>
      <c r="J272">
        <v>0.2</v>
      </c>
      <c r="K272" t="s">
        <v>30</v>
      </c>
      <c r="L272">
        <v>129.82</v>
      </c>
      <c r="M272">
        <f t="shared" si="12"/>
        <v>1239</v>
      </c>
      <c r="N272">
        <f t="shared" si="13"/>
        <v>1109.18</v>
      </c>
      <c r="O272" t="str">
        <f t="shared" si="14"/>
        <v>South</v>
      </c>
    </row>
    <row r="273" spans="1:15" x14ac:dyDescent="0.3">
      <c r="A273" t="s">
        <v>333</v>
      </c>
      <c r="B273" s="1">
        <v>45982</v>
      </c>
      <c r="C273" t="s">
        <v>108</v>
      </c>
      <c r="D273" t="s">
        <v>33</v>
      </c>
      <c r="E273" t="s">
        <v>34</v>
      </c>
      <c r="F273" t="s">
        <v>21</v>
      </c>
      <c r="G273" t="s">
        <v>29</v>
      </c>
      <c r="H273">
        <v>6</v>
      </c>
      <c r="I273">
        <v>175.04</v>
      </c>
      <c r="J273">
        <v>0.1</v>
      </c>
      <c r="K273" t="s">
        <v>18</v>
      </c>
      <c r="L273">
        <v>131</v>
      </c>
      <c r="M273">
        <f t="shared" si="12"/>
        <v>945.21600000000001</v>
      </c>
      <c r="N273">
        <f t="shared" si="13"/>
        <v>814.21600000000001</v>
      </c>
      <c r="O273" t="str">
        <f t="shared" si="14"/>
        <v>South</v>
      </c>
    </row>
    <row r="274" spans="1:15" x14ac:dyDescent="0.3">
      <c r="A274" t="s">
        <v>334</v>
      </c>
      <c r="B274" s="1">
        <v>45946</v>
      </c>
      <c r="C274" t="s">
        <v>48</v>
      </c>
      <c r="D274" t="s">
        <v>43</v>
      </c>
      <c r="E274" t="s">
        <v>15</v>
      </c>
      <c r="F274" t="s">
        <v>21</v>
      </c>
      <c r="G274" t="s">
        <v>22</v>
      </c>
      <c r="H274">
        <v>7</v>
      </c>
      <c r="I274">
        <v>354.12</v>
      </c>
      <c r="J274">
        <v>0.1</v>
      </c>
      <c r="K274" t="s">
        <v>23</v>
      </c>
      <c r="L274">
        <v>205.66</v>
      </c>
      <c r="M274">
        <f t="shared" si="12"/>
        <v>2230.9560000000001</v>
      </c>
      <c r="N274">
        <f t="shared" si="13"/>
        <v>2025.296</v>
      </c>
      <c r="O274" t="str">
        <f t="shared" si="14"/>
        <v>South</v>
      </c>
    </row>
    <row r="275" spans="1:15" x14ac:dyDescent="0.3">
      <c r="A275" t="s">
        <v>335</v>
      </c>
      <c r="B275" s="1">
        <v>45807</v>
      </c>
      <c r="C275" t="s">
        <v>37</v>
      </c>
      <c r="D275" t="s">
        <v>20</v>
      </c>
      <c r="E275" t="s">
        <v>15</v>
      </c>
      <c r="F275" t="s">
        <v>28</v>
      </c>
      <c r="G275" t="s">
        <v>22</v>
      </c>
      <c r="H275">
        <v>8</v>
      </c>
      <c r="I275">
        <v>888.25</v>
      </c>
      <c r="J275">
        <v>0.05</v>
      </c>
      <c r="K275" t="s">
        <v>18</v>
      </c>
      <c r="L275">
        <v>593.69000000000005</v>
      </c>
      <c r="M275">
        <f t="shared" si="12"/>
        <v>6750.7</v>
      </c>
      <c r="N275">
        <f t="shared" si="13"/>
        <v>6157.01</v>
      </c>
      <c r="O275" t="str">
        <f t="shared" si="14"/>
        <v>West</v>
      </c>
    </row>
    <row r="276" spans="1:15" x14ac:dyDescent="0.3">
      <c r="A276" t="s">
        <v>336</v>
      </c>
      <c r="B276" s="1">
        <v>45874</v>
      </c>
      <c r="C276" t="s">
        <v>55</v>
      </c>
      <c r="D276" t="s">
        <v>33</v>
      </c>
      <c r="E276" t="s">
        <v>34</v>
      </c>
      <c r="F276" t="s">
        <v>16</v>
      </c>
      <c r="G276" t="s">
        <v>65</v>
      </c>
      <c r="H276">
        <v>4</v>
      </c>
      <c r="I276">
        <v>128.66999999999999</v>
      </c>
      <c r="J276">
        <v>0.1</v>
      </c>
      <c r="K276" t="s">
        <v>23</v>
      </c>
      <c r="L276">
        <v>93.65</v>
      </c>
      <c r="M276">
        <f t="shared" si="12"/>
        <v>463.21199999999999</v>
      </c>
      <c r="N276">
        <f t="shared" si="13"/>
        <v>369.56200000000001</v>
      </c>
      <c r="O276" t="str">
        <f t="shared" si="14"/>
        <v>North</v>
      </c>
    </row>
    <row r="277" spans="1:15" x14ac:dyDescent="0.3">
      <c r="A277" t="s">
        <v>337</v>
      </c>
      <c r="B277" s="1">
        <v>46012</v>
      </c>
      <c r="C277" t="s">
        <v>100</v>
      </c>
      <c r="D277" t="s">
        <v>61</v>
      </c>
      <c r="E277" t="s">
        <v>34</v>
      </c>
      <c r="F277" t="s">
        <v>16</v>
      </c>
      <c r="G277" t="s">
        <v>29</v>
      </c>
      <c r="H277">
        <v>9</v>
      </c>
      <c r="I277">
        <v>82.4</v>
      </c>
      <c r="J277">
        <v>0.2</v>
      </c>
      <c r="K277" t="s">
        <v>23</v>
      </c>
      <c r="L277">
        <v>65.87</v>
      </c>
      <c r="M277">
        <f t="shared" si="12"/>
        <v>593.28000000000009</v>
      </c>
      <c r="N277">
        <f t="shared" si="13"/>
        <v>527.41000000000008</v>
      </c>
      <c r="O277" t="str">
        <f t="shared" si="14"/>
        <v>North</v>
      </c>
    </row>
    <row r="278" spans="1:15" x14ac:dyDescent="0.3">
      <c r="A278" t="s">
        <v>338</v>
      </c>
      <c r="B278" s="1">
        <v>45994</v>
      </c>
      <c r="C278" t="s">
        <v>32</v>
      </c>
      <c r="D278" t="s">
        <v>64</v>
      </c>
      <c r="E278" t="s">
        <v>34</v>
      </c>
      <c r="F278" t="s">
        <v>21</v>
      </c>
      <c r="G278" t="s">
        <v>22</v>
      </c>
      <c r="H278">
        <v>2</v>
      </c>
      <c r="I278">
        <v>108.39</v>
      </c>
      <c r="J278">
        <v>0</v>
      </c>
      <c r="K278" t="s">
        <v>23</v>
      </c>
      <c r="L278">
        <v>82.12</v>
      </c>
      <c r="M278">
        <f t="shared" si="12"/>
        <v>216.78</v>
      </c>
      <c r="N278">
        <f t="shared" si="13"/>
        <v>134.66</v>
      </c>
      <c r="O278" t="str">
        <f t="shared" si="14"/>
        <v>South</v>
      </c>
    </row>
    <row r="279" spans="1:15" x14ac:dyDescent="0.3">
      <c r="A279" t="s">
        <v>339</v>
      </c>
      <c r="B279" s="1">
        <v>45878</v>
      </c>
      <c r="C279" t="s">
        <v>76</v>
      </c>
      <c r="D279" t="s">
        <v>20</v>
      </c>
      <c r="E279" t="s">
        <v>15</v>
      </c>
      <c r="F279" t="s">
        <v>16</v>
      </c>
      <c r="G279" t="s">
        <v>40</v>
      </c>
      <c r="H279">
        <v>7</v>
      </c>
      <c r="I279">
        <v>790.81</v>
      </c>
      <c r="J279">
        <v>0.1</v>
      </c>
      <c r="K279" t="s">
        <v>30</v>
      </c>
      <c r="L279">
        <v>641.14</v>
      </c>
      <c r="M279">
        <f t="shared" si="12"/>
        <v>4982.1030000000001</v>
      </c>
      <c r="N279">
        <f t="shared" si="13"/>
        <v>4340.9629999999997</v>
      </c>
      <c r="O279" t="str">
        <f t="shared" si="14"/>
        <v>North</v>
      </c>
    </row>
    <row r="280" spans="1:15" x14ac:dyDescent="0.3">
      <c r="A280" t="s">
        <v>340</v>
      </c>
      <c r="B280" s="1">
        <v>45952</v>
      </c>
      <c r="C280" t="s">
        <v>69</v>
      </c>
      <c r="D280" t="s">
        <v>70</v>
      </c>
      <c r="E280" t="s">
        <v>34</v>
      </c>
      <c r="F280" t="s">
        <v>28</v>
      </c>
      <c r="G280" t="s">
        <v>29</v>
      </c>
      <c r="H280">
        <v>9</v>
      </c>
      <c r="I280">
        <v>63.3</v>
      </c>
      <c r="J280">
        <v>0.2</v>
      </c>
      <c r="K280" t="s">
        <v>18</v>
      </c>
      <c r="L280">
        <v>44.74</v>
      </c>
      <c r="M280">
        <f t="shared" si="12"/>
        <v>455.76</v>
      </c>
      <c r="N280">
        <f t="shared" si="13"/>
        <v>411.02</v>
      </c>
      <c r="O280" t="str">
        <f t="shared" si="14"/>
        <v>West</v>
      </c>
    </row>
    <row r="281" spans="1:15" x14ac:dyDescent="0.3">
      <c r="A281" t="s">
        <v>341</v>
      </c>
      <c r="B281" s="1">
        <v>45670</v>
      </c>
      <c r="C281" t="s">
        <v>108</v>
      </c>
      <c r="D281" t="s">
        <v>61</v>
      </c>
      <c r="E281" t="s">
        <v>34</v>
      </c>
      <c r="F281" t="s">
        <v>16</v>
      </c>
      <c r="G281" t="s">
        <v>29</v>
      </c>
      <c r="H281">
        <v>10</v>
      </c>
      <c r="I281">
        <v>99.51</v>
      </c>
      <c r="J281">
        <v>0.2</v>
      </c>
      <c r="K281" t="s">
        <v>18</v>
      </c>
      <c r="L281">
        <v>58.78</v>
      </c>
      <c r="M281">
        <f t="shared" si="12"/>
        <v>796.08</v>
      </c>
      <c r="N281">
        <f t="shared" si="13"/>
        <v>737.30000000000007</v>
      </c>
      <c r="O281" t="str">
        <f t="shared" si="14"/>
        <v>North</v>
      </c>
    </row>
    <row r="282" spans="1:15" x14ac:dyDescent="0.3">
      <c r="A282" t="s">
        <v>342</v>
      </c>
      <c r="B282" s="1">
        <v>45891</v>
      </c>
      <c r="C282" t="s">
        <v>48</v>
      </c>
      <c r="D282" t="s">
        <v>14</v>
      </c>
      <c r="E282" t="s">
        <v>15</v>
      </c>
      <c r="F282" t="s">
        <v>28</v>
      </c>
      <c r="G282" t="s">
        <v>29</v>
      </c>
      <c r="H282">
        <v>3</v>
      </c>
      <c r="I282">
        <v>346.43</v>
      </c>
      <c r="J282">
        <v>0.1</v>
      </c>
      <c r="K282" t="s">
        <v>18</v>
      </c>
      <c r="L282">
        <v>219.71</v>
      </c>
      <c r="M282">
        <f t="shared" si="12"/>
        <v>935.36099999999999</v>
      </c>
      <c r="N282">
        <f t="shared" si="13"/>
        <v>715.65099999999995</v>
      </c>
      <c r="O282" t="str">
        <f t="shared" si="14"/>
        <v>West</v>
      </c>
    </row>
    <row r="283" spans="1:15" x14ac:dyDescent="0.3">
      <c r="A283" t="s">
        <v>343</v>
      </c>
      <c r="B283" s="1">
        <v>45680</v>
      </c>
      <c r="C283" t="s">
        <v>76</v>
      </c>
      <c r="D283" t="s">
        <v>14</v>
      </c>
      <c r="E283" t="s">
        <v>15</v>
      </c>
      <c r="F283" t="s">
        <v>16</v>
      </c>
      <c r="G283" t="s">
        <v>29</v>
      </c>
      <c r="H283">
        <v>8</v>
      </c>
      <c r="I283">
        <v>475.27</v>
      </c>
      <c r="J283">
        <v>0.1</v>
      </c>
      <c r="K283" t="s">
        <v>53</v>
      </c>
      <c r="L283">
        <v>270.02</v>
      </c>
      <c r="M283">
        <f t="shared" si="12"/>
        <v>3421.944</v>
      </c>
      <c r="N283">
        <f t="shared" si="13"/>
        <v>3151.924</v>
      </c>
      <c r="O283" t="str">
        <f t="shared" si="14"/>
        <v>North</v>
      </c>
    </row>
    <row r="284" spans="1:15" x14ac:dyDescent="0.3">
      <c r="A284" t="s">
        <v>344</v>
      </c>
      <c r="B284" s="1">
        <v>45739</v>
      </c>
      <c r="C284" t="s">
        <v>67</v>
      </c>
      <c r="D284" t="s">
        <v>33</v>
      </c>
      <c r="E284" t="s">
        <v>34</v>
      </c>
      <c r="F284" t="s">
        <v>28</v>
      </c>
      <c r="G284" t="s">
        <v>65</v>
      </c>
      <c r="H284">
        <v>4</v>
      </c>
      <c r="I284">
        <v>170.19</v>
      </c>
      <c r="J284">
        <v>0.2</v>
      </c>
      <c r="K284" t="s">
        <v>44</v>
      </c>
      <c r="L284">
        <v>101.62</v>
      </c>
      <c r="M284">
        <f t="shared" si="12"/>
        <v>544.60800000000006</v>
      </c>
      <c r="N284">
        <f t="shared" si="13"/>
        <v>442.98800000000006</v>
      </c>
      <c r="O284" t="str">
        <f t="shared" si="14"/>
        <v>West</v>
      </c>
    </row>
    <row r="285" spans="1:15" x14ac:dyDescent="0.3">
      <c r="A285" t="s">
        <v>345</v>
      </c>
      <c r="B285" s="1">
        <v>45972</v>
      </c>
      <c r="C285" t="s">
        <v>48</v>
      </c>
      <c r="D285" t="s">
        <v>26</v>
      </c>
      <c r="E285" t="s">
        <v>27</v>
      </c>
      <c r="F285" t="s">
        <v>28</v>
      </c>
      <c r="G285" t="s">
        <v>17</v>
      </c>
      <c r="H285">
        <v>3</v>
      </c>
      <c r="I285">
        <v>225.95</v>
      </c>
      <c r="J285">
        <v>0.15</v>
      </c>
      <c r="K285" t="s">
        <v>18</v>
      </c>
      <c r="L285">
        <v>148.41</v>
      </c>
      <c r="M285">
        <f t="shared" si="12"/>
        <v>576.1724999999999</v>
      </c>
      <c r="N285">
        <f t="shared" si="13"/>
        <v>427.76249999999993</v>
      </c>
      <c r="O285" t="str">
        <f t="shared" si="14"/>
        <v>West</v>
      </c>
    </row>
    <row r="286" spans="1:15" x14ac:dyDescent="0.3">
      <c r="A286" t="s">
        <v>346</v>
      </c>
      <c r="B286" s="1">
        <v>46018</v>
      </c>
      <c r="C286" t="s">
        <v>37</v>
      </c>
      <c r="D286" t="s">
        <v>26</v>
      </c>
      <c r="E286" t="s">
        <v>27</v>
      </c>
      <c r="F286" t="s">
        <v>16</v>
      </c>
      <c r="G286" t="s">
        <v>17</v>
      </c>
      <c r="H286">
        <v>4</v>
      </c>
      <c r="I286">
        <v>100.89</v>
      </c>
      <c r="J286">
        <v>0.05</v>
      </c>
      <c r="K286" t="s">
        <v>44</v>
      </c>
      <c r="L286">
        <v>63.07</v>
      </c>
      <c r="M286">
        <f t="shared" si="12"/>
        <v>383.38200000000001</v>
      </c>
      <c r="N286">
        <f t="shared" si="13"/>
        <v>320.31200000000001</v>
      </c>
      <c r="O286" t="str">
        <f t="shared" si="14"/>
        <v>North</v>
      </c>
    </row>
    <row r="287" spans="1:15" x14ac:dyDescent="0.3">
      <c r="A287" t="s">
        <v>347</v>
      </c>
      <c r="B287" s="1">
        <v>45908</v>
      </c>
      <c r="C287" t="s">
        <v>52</v>
      </c>
      <c r="D287" t="s">
        <v>39</v>
      </c>
      <c r="E287" t="s">
        <v>27</v>
      </c>
      <c r="F287" t="s">
        <v>35</v>
      </c>
      <c r="G287" t="s">
        <v>17</v>
      </c>
      <c r="H287">
        <v>8</v>
      </c>
      <c r="I287">
        <v>194.98</v>
      </c>
      <c r="J287">
        <v>0</v>
      </c>
      <c r="K287" t="s">
        <v>18</v>
      </c>
      <c r="L287">
        <v>121.05</v>
      </c>
      <c r="M287">
        <f t="shared" si="12"/>
        <v>1559.84</v>
      </c>
      <c r="N287">
        <f t="shared" si="13"/>
        <v>1438.79</v>
      </c>
      <c r="O287" t="str">
        <f t="shared" si="14"/>
        <v>East</v>
      </c>
    </row>
    <row r="288" spans="1:15" x14ac:dyDescent="0.3">
      <c r="A288" t="s">
        <v>348</v>
      </c>
      <c r="B288" s="1">
        <v>45892</v>
      </c>
      <c r="C288" t="s">
        <v>104</v>
      </c>
      <c r="D288" t="s">
        <v>64</v>
      </c>
      <c r="E288" t="s">
        <v>34</v>
      </c>
      <c r="F288" t="s">
        <v>21</v>
      </c>
      <c r="G288" t="s">
        <v>22</v>
      </c>
      <c r="H288">
        <v>2</v>
      </c>
      <c r="I288">
        <v>80.14</v>
      </c>
      <c r="J288">
        <v>0.1</v>
      </c>
      <c r="K288" t="s">
        <v>30</v>
      </c>
      <c r="L288">
        <v>51.69</v>
      </c>
      <c r="M288">
        <f t="shared" si="12"/>
        <v>144.25200000000001</v>
      </c>
      <c r="N288">
        <f t="shared" si="13"/>
        <v>92.562000000000012</v>
      </c>
      <c r="O288" t="str">
        <f t="shared" si="14"/>
        <v>South</v>
      </c>
    </row>
    <row r="289" spans="1:15" x14ac:dyDescent="0.3">
      <c r="A289" t="s">
        <v>349</v>
      </c>
      <c r="B289" s="1">
        <v>45814</v>
      </c>
      <c r="C289" t="s">
        <v>76</v>
      </c>
      <c r="D289" t="s">
        <v>64</v>
      </c>
      <c r="E289" t="s">
        <v>34</v>
      </c>
      <c r="F289" t="s">
        <v>21</v>
      </c>
      <c r="G289" t="s">
        <v>29</v>
      </c>
      <c r="H289">
        <v>3</v>
      </c>
      <c r="I289">
        <v>102.87</v>
      </c>
      <c r="J289">
        <v>0.1</v>
      </c>
      <c r="K289" t="s">
        <v>44</v>
      </c>
      <c r="L289">
        <v>59.85</v>
      </c>
      <c r="M289">
        <f t="shared" si="12"/>
        <v>277.74900000000002</v>
      </c>
      <c r="N289">
        <f t="shared" si="13"/>
        <v>217.89900000000003</v>
      </c>
      <c r="O289" t="str">
        <f t="shared" si="14"/>
        <v>South</v>
      </c>
    </row>
    <row r="290" spans="1:15" x14ac:dyDescent="0.3">
      <c r="A290" t="s">
        <v>350</v>
      </c>
      <c r="B290" s="1">
        <v>45874</v>
      </c>
      <c r="C290" t="s">
        <v>25</v>
      </c>
      <c r="D290" t="s">
        <v>46</v>
      </c>
      <c r="E290" t="s">
        <v>15</v>
      </c>
      <c r="F290" t="s">
        <v>28</v>
      </c>
      <c r="G290" t="s">
        <v>22</v>
      </c>
      <c r="H290">
        <v>10</v>
      </c>
      <c r="I290">
        <v>316.54000000000002</v>
      </c>
      <c r="J290">
        <v>0.05</v>
      </c>
      <c r="K290" t="s">
        <v>23</v>
      </c>
      <c r="L290">
        <v>223.22</v>
      </c>
      <c r="M290">
        <f t="shared" si="12"/>
        <v>3007.13</v>
      </c>
      <c r="N290">
        <f t="shared" si="13"/>
        <v>2783.9100000000003</v>
      </c>
      <c r="O290" t="str">
        <f t="shared" si="14"/>
        <v>West</v>
      </c>
    </row>
    <row r="291" spans="1:15" x14ac:dyDescent="0.3">
      <c r="A291" t="s">
        <v>351</v>
      </c>
      <c r="B291" s="1">
        <v>45819</v>
      </c>
      <c r="C291" t="s">
        <v>73</v>
      </c>
      <c r="D291" t="s">
        <v>33</v>
      </c>
      <c r="E291" t="s">
        <v>34</v>
      </c>
      <c r="F291" t="s">
        <v>16</v>
      </c>
      <c r="G291" t="s">
        <v>29</v>
      </c>
      <c r="H291">
        <v>8</v>
      </c>
      <c r="I291">
        <v>117.69</v>
      </c>
      <c r="J291">
        <v>0.1</v>
      </c>
      <c r="K291" t="s">
        <v>53</v>
      </c>
      <c r="L291">
        <v>69.19</v>
      </c>
      <c r="M291">
        <f t="shared" si="12"/>
        <v>847.36800000000005</v>
      </c>
      <c r="N291">
        <f t="shared" si="13"/>
        <v>778.17800000000011</v>
      </c>
      <c r="O291" t="str">
        <f t="shared" si="14"/>
        <v>North</v>
      </c>
    </row>
    <row r="292" spans="1:15" x14ac:dyDescent="0.3">
      <c r="A292" t="s">
        <v>352</v>
      </c>
      <c r="B292" s="1">
        <v>45911</v>
      </c>
      <c r="C292" t="s">
        <v>100</v>
      </c>
      <c r="D292" t="s">
        <v>61</v>
      </c>
      <c r="E292" t="s">
        <v>34</v>
      </c>
      <c r="F292" t="s">
        <v>28</v>
      </c>
      <c r="G292" t="s">
        <v>65</v>
      </c>
      <c r="H292">
        <v>7</v>
      </c>
      <c r="I292">
        <v>42.29</v>
      </c>
      <c r="J292">
        <v>0.2</v>
      </c>
      <c r="K292" t="s">
        <v>18</v>
      </c>
      <c r="L292">
        <v>29.03</v>
      </c>
      <c r="M292">
        <f t="shared" si="12"/>
        <v>236.82399999999998</v>
      </c>
      <c r="N292">
        <f t="shared" si="13"/>
        <v>207.79399999999998</v>
      </c>
      <c r="O292" t="str">
        <f t="shared" si="14"/>
        <v>West</v>
      </c>
    </row>
    <row r="293" spans="1:15" x14ac:dyDescent="0.3">
      <c r="A293" t="s">
        <v>353</v>
      </c>
      <c r="B293" s="1">
        <v>45770</v>
      </c>
      <c r="C293" t="s">
        <v>79</v>
      </c>
      <c r="D293" t="s">
        <v>61</v>
      </c>
      <c r="E293" t="s">
        <v>34</v>
      </c>
      <c r="F293" t="s">
        <v>16</v>
      </c>
      <c r="G293" t="s">
        <v>29</v>
      </c>
      <c r="H293">
        <v>10</v>
      </c>
      <c r="I293">
        <v>45.05</v>
      </c>
      <c r="J293">
        <v>0</v>
      </c>
      <c r="K293" t="s">
        <v>44</v>
      </c>
      <c r="L293">
        <v>34.46</v>
      </c>
      <c r="M293">
        <f t="shared" si="12"/>
        <v>450.5</v>
      </c>
      <c r="N293">
        <f t="shared" si="13"/>
        <v>416.04</v>
      </c>
      <c r="O293" t="str">
        <f t="shared" si="14"/>
        <v>North</v>
      </c>
    </row>
    <row r="294" spans="1:15" x14ac:dyDescent="0.3">
      <c r="A294" t="s">
        <v>354</v>
      </c>
      <c r="B294" s="1">
        <v>45911</v>
      </c>
      <c r="C294" t="s">
        <v>13</v>
      </c>
      <c r="D294" t="s">
        <v>46</v>
      </c>
      <c r="E294" t="s">
        <v>15</v>
      </c>
      <c r="F294" t="s">
        <v>16</v>
      </c>
      <c r="G294" t="s">
        <v>17</v>
      </c>
      <c r="H294">
        <v>8</v>
      </c>
      <c r="I294">
        <v>286.60000000000002</v>
      </c>
      <c r="J294">
        <v>0.2</v>
      </c>
      <c r="K294" t="s">
        <v>53</v>
      </c>
      <c r="L294">
        <v>215.09</v>
      </c>
      <c r="M294">
        <f t="shared" si="12"/>
        <v>1834.2400000000002</v>
      </c>
      <c r="N294">
        <f t="shared" si="13"/>
        <v>1619.1500000000003</v>
      </c>
      <c r="O294" t="str">
        <f t="shared" si="14"/>
        <v>North</v>
      </c>
    </row>
    <row r="295" spans="1:15" x14ac:dyDescent="0.3">
      <c r="A295" t="s">
        <v>355</v>
      </c>
      <c r="B295" s="1">
        <v>45679</v>
      </c>
      <c r="C295" t="s">
        <v>73</v>
      </c>
      <c r="D295" t="s">
        <v>43</v>
      </c>
      <c r="E295" t="s">
        <v>15</v>
      </c>
      <c r="F295" t="s">
        <v>21</v>
      </c>
      <c r="G295" t="s">
        <v>65</v>
      </c>
      <c r="H295">
        <v>6</v>
      </c>
      <c r="I295">
        <v>343.78</v>
      </c>
      <c r="J295">
        <v>0.2</v>
      </c>
      <c r="K295" t="s">
        <v>53</v>
      </c>
      <c r="L295">
        <v>265.43</v>
      </c>
      <c r="M295">
        <f t="shared" si="12"/>
        <v>1650.144</v>
      </c>
      <c r="N295">
        <f t="shared" si="13"/>
        <v>1384.7139999999999</v>
      </c>
      <c r="O295" t="str">
        <f t="shared" si="14"/>
        <v>South</v>
      </c>
    </row>
    <row r="296" spans="1:15" x14ac:dyDescent="0.3">
      <c r="A296" t="s">
        <v>356</v>
      </c>
      <c r="B296" s="1">
        <v>45702</v>
      </c>
      <c r="C296" t="s">
        <v>73</v>
      </c>
      <c r="D296" t="s">
        <v>70</v>
      </c>
      <c r="E296" t="s">
        <v>34</v>
      </c>
      <c r="F296" t="s">
        <v>16</v>
      </c>
      <c r="G296" t="s">
        <v>49</v>
      </c>
      <c r="H296">
        <v>1</v>
      </c>
      <c r="I296">
        <v>47.33</v>
      </c>
      <c r="J296">
        <v>0.15</v>
      </c>
      <c r="K296" t="s">
        <v>44</v>
      </c>
      <c r="L296">
        <v>29.39</v>
      </c>
      <c r="M296">
        <f t="shared" si="12"/>
        <v>40.230499999999999</v>
      </c>
      <c r="N296">
        <f t="shared" si="13"/>
        <v>10.840499999999999</v>
      </c>
      <c r="O296" t="str">
        <f t="shared" si="14"/>
        <v>North</v>
      </c>
    </row>
    <row r="297" spans="1:15" x14ac:dyDescent="0.3">
      <c r="A297" t="s">
        <v>357</v>
      </c>
      <c r="B297" s="1">
        <v>45729</v>
      </c>
      <c r="C297" t="s">
        <v>48</v>
      </c>
      <c r="D297" t="s">
        <v>64</v>
      </c>
      <c r="E297" t="s">
        <v>34</v>
      </c>
      <c r="F297" t="s">
        <v>21</v>
      </c>
      <c r="G297" t="s">
        <v>40</v>
      </c>
      <c r="H297">
        <v>10</v>
      </c>
      <c r="I297">
        <v>114.25</v>
      </c>
      <c r="J297">
        <v>0.15</v>
      </c>
      <c r="K297" t="s">
        <v>23</v>
      </c>
      <c r="L297">
        <v>67.959999999999994</v>
      </c>
      <c r="M297">
        <f t="shared" si="12"/>
        <v>971.125</v>
      </c>
      <c r="N297">
        <f t="shared" si="13"/>
        <v>903.16499999999996</v>
      </c>
      <c r="O297" t="str">
        <f t="shared" si="14"/>
        <v>South</v>
      </c>
    </row>
    <row r="298" spans="1:15" x14ac:dyDescent="0.3">
      <c r="A298" t="s">
        <v>358</v>
      </c>
      <c r="B298" s="1">
        <v>46018</v>
      </c>
      <c r="C298" t="s">
        <v>79</v>
      </c>
      <c r="D298" t="s">
        <v>39</v>
      </c>
      <c r="E298" t="s">
        <v>27</v>
      </c>
      <c r="F298" t="s">
        <v>35</v>
      </c>
      <c r="G298" t="s">
        <v>17</v>
      </c>
      <c r="H298">
        <v>10</v>
      </c>
      <c r="I298">
        <v>242.42</v>
      </c>
      <c r="J298">
        <v>0.2</v>
      </c>
      <c r="K298" t="s">
        <v>30</v>
      </c>
      <c r="L298">
        <v>144.35</v>
      </c>
      <c r="M298">
        <f t="shared" si="12"/>
        <v>1939.36</v>
      </c>
      <c r="N298">
        <f t="shared" si="13"/>
        <v>1795.01</v>
      </c>
      <c r="O298" t="str">
        <f t="shared" si="14"/>
        <v>East</v>
      </c>
    </row>
    <row r="299" spans="1:15" x14ac:dyDescent="0.3">
      <c r="A299" t="s">
        <v>359</v>
      </c>
      <c r="B299" s="1">
        <v>45868</v>
      </c>
      <c r="C299" t="s">
        <v>125</v>
      </c>
      <c r="D299" t="s">
        <v>46</v>
      </c>
      <c r="E299" t="s">
        <v>15</v>
      </c>
      <c r="F299" t="s">
        <v>35</v>
      </c>
      <c r="G299" t="s">
        <v>22</v>
      </c>
      <c r="H299">
        <v>2</v>
      </c>
      <c r="I299">
        <v>495.65</v>
      </c>
      <c r="J299">
        <v>0.05</v>
      </c>
      <c r="K299" t="s">
        <v>44</v>
      </c>
      <c r="L299">
        <v>401.45</v>
      </c>
      <c r="M299">
        <f t="shared" si="12"/>
        <v>941.7349999999999</v>
      </c>
      <c r="N299">
        <f t="shared" si="13"/>
        <v>540.28499999999985</v>
      </c>
      <c r="O299" t="str">
        <f t="shared" si="14"/>
        <v>East</v>
      </c>
    </row>
    <row r="300" spans="1:15" x14ac:dyDescent="0.3">
      <c r="A300" t="s">
        <v>360</v>
      </c>
      <c r="B300" s="1">
        <v>46004</v>
      </c>
      <c r="C300" t="s">
        <v>55</v>
      </c>
      <c r="D300" t="s">
        <v>33</v>
      </c>
      <c r="E300" t="s">
        <v>34</v>
      </c>
      <c r="F300" t="s">
        <v>28</v>
      </c>
      <c r="G300" t="s">
        <v>49</v>
      </c>
      <c r="H300">
        <v>6</v>
      </c>
      <c r="I300">
        <v>74.95</v>
      </c>
      <c r="J300">
        <v>0.05</v>
      </c>
      <c r="K300" t="s">
        <v>23</v>
      </c>
      <c r="L300">
        <v>56.63</v>
      </c>
      <c r="M300">
        <f t="shared" si="12"/>
        <v>427.21500000000003</v>
      </c>
      <c r="N300">
        <f t="shared" si="13"/>
        <v>370.58500000000004</v>
      </c>
      <c r="O300" t="str">
        <f t="shared" si="14"/>
        <v>West</v>
      </c>
    </row>
    <row r="301" spans="1:15" x14ac:dyDescent="0.3">
      <c r="A301" t="s">
        <v>361</v>
      </c>
      <c r="B301" s="1">
        <v>45705</v>
      </c>
      <c r="C301" t="s">
        <v>55</v>
      </c>
      <c r="D301" t="s">
        <v>43</v>
      </c>
      <c r="E301" t="s">
        <v>15</v>
      </c>
      <c r="F301" t="s">
        <v>35</v>
      </c>
      <c r="G301" t="s">
        <v>22</v>
      </c>
      <c r="H301">
        <v>5</v>
      </c>
      <c r="I301">
        <v>306.95</v>
      </c>
      <c r="J301">
        <v>0.15</v>
      </c>
      <c r="K301" t="s">
        <v>30</v>
      </c>
      <c r="L301">
        <v>175.08</v>
      </c>
      <c r="M301">
        <f t="shared" si="12"/>
        <v>1304.5374999999999</v>
      </c>
      <c r="N301">
        <f t="shared" si="13"/>
        <v>1129.4575</v>
      </c>
      <c r="O301" t="str">
        <f t="shared" si="14"/>
        <v>East</v>
      </c>
    </row>
    <row r="302" spans="1:15" x14ac:dyDescent="0.3">
      <c r="A302" t="s">
        <v>362</v>
      </c>
      <c r="B302" s="1">
        <v>45705</v>
      </c>
      <c r="C302" t="s">
        <v>73</v>
      </c>
      <c r="D302" t="s">
        <v>61</v>
      </c>
      <c r="E302" t="s">
        <v>34</v>
      </c>
      <c r="F302" t="s">
        <v>35</v>
      </c>
      <c r="G302" t="s">
        <v>40</v>
      </c>
      <c r="H302">
        <v>6</v>
      </c>
      <c r="I302">
        <v>115.52</v>
      </c>
      <c r="J302">
        <v>0.2</v>
      </c>
      <c r="K302" t="s">
        <v>23</v>
      </c>
      <c r="L302">
        <v>63.61</v>
      </c>
      <c r="M302">
        <f t="shared" si="12"/>
        <v>554.49599999999998</v>
      </c>
      <c r="N302">
        <f t="shared" si="13"/>
        <v>490.88599999999997</v>
      </c>
      <c r="O302" t="str">
        <f t="shared" si="14"/>
        <v>East</v>
      </c>
    </row>
    <row r="303" spans="1:15" x14ac:dyDescent="0.3">
      <c r="A303" t="s">
        <v>363</v>
      </c>
      <c r="B303" s="1">
        <v>45823</v>
      </c>
      <c r="C303" t="s">
        <v>79</v>
      </c>
      <c r="D303" t="s">
        <v>26</v>
      </c>
      <c r="E303" t="s">
        <v>27</v>
      </c>
      <c r="F303" t="s">
        <v>35</v>
      </c>
      <c r="G303" t="s">
        <v>17</v>
      </c>
      <c r="H303">
        <v>7</v>
      </c>
      <c r="I303">
        <v>143.57</v>
      </c>
      <c r="J303">
        <v>0.05</v>
      </c>
      <c r="K303" t="s">
        <v>23</v>
      </c>
      <c r="L303">
        <v>98.14</v>
      </c>
      <c r="M303">
        <f t="shared" si="12"/>
        <v>954.7405</v>
      </c>
      <c r="N303">
        <f t="shared" si="13"/>
        <v>856.60050000000001</v>
      </c>
      <c r="O303" t="str">
        <f t="shared" si="14"/>
        <v>East</v>
      </c>
    </row>
    <row r="304" spans="1:15" x14ac:dyDescent="0.3">
      <c r="A304" t="s">
        <v>364</v>
      </c>
      <c r="B304" s="1">
        <v>45682</v>
      </c>
      <c r="C304" t="s">
        <v>125</v>
      </c>
      <c r="D304" t="s">
        <v>33</v>
      </c>
      <c r="E304" t="s">
        <v>34</v>
      </c>
      <c r="F304" t="s">
        <v>16</v>
      </c>
      <c r="G304" t="s">
        <v>22</v>
      </c>
      <c r="H304">
        <v>8</v>
      </c>
      <c r="I304">
        <v>119.26</v>
      </c>
      <c r="J304">
        <v>0.1</v>
      </c>
      <c r="K304" t="s">
        <v>18</v>
      </c>
      <c r="L304">
        <v>94.38</v>
      </c>
      <c r="M304">
        <f t="shared" si="12"/>
        <v>858.67200000000003</v>
      </c>
      <c r="N304">
        <f t="shared" si="13"/>
        <v>764.29200000000003</v>
      </c>
      <c r="O304" t="str">
        <f t="shared" si="14"/>
        <v>North</v>
      </c>
    </row>
    <row r="305" spans="1:15" x14ac:dyDescent="0.3">
      <c r="A305" t="s">
        <v>365</v>
      </c>
      <c r="B305" s="1">
        <v>45877</v>
      </c>
      <c r="C305" t="s">
        <v>48</v>
      </c>
      <c r="D305" t="s">
        <v>20</v>
      </c>
      <c r="E305" t="s">
        <v>15</v>
      </c>
      <c r="F305" t="s">
        <v>21</v>
      </c>
      <c r="G305" t="s">
        <v>22</v>
      </c>
      <c r="H305">
        <v>3</v>
      </c>
      <c r="I305">
        <v>681.06</v>
      </c>
      <c r="J305">
        <v>0.15</v>
      </c>
      <c r="K305" t="s">
        <v>30</v>
      </c>
      <c r="L305">
        <v>458.53</v>
      </c>
      <c r="M305">
        <f t="shared" si="12"/>
        <v>1736.7029999999997</v>
      </c>
      <c r="N305">
        <f t="shared" si="13"/>
        <v>1278.1729999999998</v>
      </c>
      <c r="O305" t="str">
        <f t="shared" si="14"/>
        <v>South</v>
      </c>
    </row>
    <row r="306" spans="1:15" x14ac:dyDescent="0.3">
      <c r="A306" t="s">
        <v>366</v>
      </c>
      <c r="B306" s="1">
        <v>45786</v>
      </c>
      <c r="C306" t="s">
        <v>37</v>
      </c>
      <c r="D306" t="s">
        <v>33</v>
      </c>
      <c r="E306" t="s">
        <v>34</v>
      </c>
      <c r="F306" t="s">
        <v>35</v>
      </c>
      <c r="G306" t="s">
        <v>22</v>
      </c>
      <c r="H306">
        <v>5</v>
      </c>
      <c r="I306">
        <v>162.41999999999999</v>
      </c>
      <c r="J306">
        <v>0</v>
      </c>
      <c r="K306" t="s">
        <v>44</v>
      </c>
      <c r="L306">
        <v>118.04</v>
      </c>
      <c r="M306">
        <f t="shared" si="12"/>
        <v>812.09999999999991</v>
      </c>
      <c r="N306">
        <f t="shared" si="13"/>
        <v>694.06</v>
      </c>
      <c r="O306" t="str">
        <f t="shared" si="14"/>
        <v>East</v>
      </c>
    </row>
    <row r="307" spans="1:15" x14ac:dyDescent="0.3">
      <c r="A307" t="s">
        <v>367</v>
      </c>
      <c r="B307" s="1">
        <v>45704</v>
      </c>
      <c r="C307" t="s">
        <v>76</v>
      </c>
      <c r="D307" t="s">
        <v>20</v>
      </c>
      <c r="E307" t="s">
        <v>15</v>
      </c>
      <c r="F307" t="s">
        <v>16</v>
      </c>
      <c r="G307" t="s">
        <v>49</v>
      </c>
      <c r="H307">
        <v>5</v>
      </c>
      <c r="I307">
        <v>749.09</v>
      </c>
      <c r="J307">
        <v>0.05</v>
      </c>
      <c r="K307" t="s">
        <v>18</v>
      </c>
      <c r="L307">
        <v>498.81</v>
      </c>
      <c r="M307">
        <f t="shared" si="12"/>
        <v>3558.1775000000002</v>
      </c>
      <c r="N307">
        <f t="shared" si="13"/>
        <v>3059.3675000000003</v>
      </c>
      <c r="O307" t="str">
        <f t="shared" si="14"/>
        <v>North</v>
      </c>
    </row>
    <row r="308" spans="1:15" x14ac:dyDescent="0.3">
      <c r="A308" t="s">
        <v>368</v>
      </c>
      <c r="B308" s="1">
        <v>45662</v>
      </c>
      <c r="C308" t="s">
        <v>85</v>
      </c>
      <c r="D308" t="s">
        <v>14</v>
      </c>
      <c r="E308" t="s">
        <v>15</v>
      </c>
      <c r="F308" t="s">
        <v>35</v>
      </c>
      <c r="G308" t="s">
        <v>40</v>
      </c>
      <c r="H308">
        <v>4</v>
      </c>
      <c r="I308">
        <v>353.08</v>
      </c>
      <c r="J308">
        <v>0.2</v>
      </c>
      <c r="K308" t="s">
        <v>18</v>
      </c>
      <c r="L308">
        <v>259.02</v>
      </c>
      <c r="M308">
        <f t="shared" si="12"/>
        <v>1129.856</v>
      </c>
      <c r="N308">
        <f t="shared" si="13"/>
        <v>870.83600000000001</v>
      </c>
      <c r="O308" t="str">
        <f t="shared" si="14"/>
        <v>East</v>
      </c>
    </row>
    <row r="309" spans="1:15" x14ac:dyDescent="0.3">
      <c r="A309" t="s">
        <v>369</v>
      </c>
      <c r="B309" s="1">
        <v>45710</v>
      </c>
      <c r="C309" t="s">
        <v>76</v>
      </c>
      <c r="D309" t="s">
        <v>33</v>
      </c>
      <c r="E309" t="s">
        <v>34</v>
      </c>
      <c r="F309" t="s">
        <v>35</v>
      </c>
      <c r="G309" t="s">
        <v>29</v>
      </c>
      <c r="H309">
        <v>4</v>
      </c>
      <c r="I309">
        <v>106.88</v>
      </c>
      <c r="J309">
        <v>0.15</v>
      </c>
      <c r="K309" t="s">
        <v>30</v>
      </c>
      <c r="L309">
        <v>61.36</v>
      </c>
      <c r="M309">
        <f t="shared" si="12"/>
        <v>363.392</v>
      </c>
      <c r="N309">
        <f t="shared" si="13"/>
        <v>302.03199999999998</v>
      </c>
      <c r="O309" t="str">
        <f t="shared" si="14"/>
        <v>East</v>
      </c>
    </row>
    <row r="310" spans="1:15" x14ac:dyDescent="0.3">
      <c r="A310" t="s">
        <v>370</v>
      </c>
      <c r="B310" s="1">
        <v>45946</v>
      </c>
      <c r="C310" t="s">
        <v>85</v>
      </c>
      <c r="D310" t="s">
        <v>33</v>
      </c>
      <c r="E310" t="s">
        <v>34</v>
      </c>
      <c r="F310" t="s">
        <v>21</v>
      </c>
      <c r="G310" t="s">
        <v>65</v>
      </c>
      <c r="H310">
        <v>3</v>
      </c>
      <c r="I310">
        <v>93.58</v>
      </c>
      <c r="J310">
        <v>0.05</v>
      </c>
      <c r="K310" t="s">
        <v>30</v>
      </c>
      <c r="L310">
        <v>53.2</v>
      </c>
      <c r="M310">
        <f t="shared" si="12"/>
        <v>266.70299999999997</v>
      </c>
      <c r="N310">
        <f t="shared" si="13"/>
        <v>213.50299999999999</v>
      </c>
      <c r="O310" t="str">
        <f t="shared" si="14"/>
        <v>South</v>
      </c>
    </row>
    <row r="311" spans="1:15" x14ac:dyDescent="0.3">
      <c r="A311" t="s">
        <v>371</v>
      </c>
      <c r="B311" s="1">
        <v>45884</v>
      </c>
      <c r="C311" t="s">
        <v>48</v>
      </c>
      <c r="D311" t="s">
        <v>70</v>
      </c>
      <c r="E311" t="s">
        <v>34</v>
      </c>
      <c r="F311" t="s">
        <v>16</v>
      </c>
      <c r="G311" t="s">
        <v>40</v>
      </c>
      <c r="H311">
        <v>3</v>
      </c>
      <c r="I311">
        <v>72.11</v>
      </c>
      <c r="J311">
        <v>0.15</v>
      </c>
      <c r="K311" t="s">
        <v>44</v>
      </c>
      <c r="L311">
        <v>51.66</v>
      </c>
      <c r="M311">
        <f t="shared" si="12"/>
        <v>183.88049999999998</v>
      </c>
      <c r="N311">
        <f t="shared" si="13"/>
        <v>132.22049999999999</v>
      </c>
      <c r="O311" t="str">
        <f t="shared" si="14"/>
        <v>North</v>
      </c>
    </row>
    <row r="312" spans="1:15" x14ac:dyDescent="0.3">
      <c r="A312" t="s">
        <v>372</v>
      </c>
      <c r="B312" s="1">
        <v>45819</v>
      </c>
      <c r="C312" t="s">
        <v>92</v>
      </c>
      <c r="D312" t="s">
        <v>14</v>
      </c>
      <c r="E312" t="s">
        <v>15</v>
      </c>
      <c r="F312" t="s">
        <v>21</v>
      </c>
      <c r="G312" t="s">
        <v>29</v>
      </c>
      <c r="H312">
        <v>7</v>
      </c>
      <c r="I312">
        <v>535.83000000000004</v>
      </c>
      <c r="J312">
        <v>0.1</v>
      </c>
      <c r="K312" t="s">
        <v>53</v>
      </c>
      <c r="L312">
        <v>434.06</v>
      </c>
      <c r="M312">
        <f t="shared" si="12"/>
        <v>3375.7290000000003</v>
      </c>
      <c r="N312">
        <f t="shared" si="13"/>
        <v>2941.6690000000003</v>
      </c>
      <c r="O312" t="str">
        <f t="shared" si="14"/>
        <v>South</v>
      </c>
    </row>
    <row r="313" spans="1:15" x14ac:dyDescent="0.3">
      <c r="A313" t="s">
        <v>373</v>
      </c>
      <c r="B313" s="1">
        <v>46011</v>
      </c>
      <c r="C313" t="s">
        <v>85</v>
      </c>
      <c r="D313" t="s">
        <v>70</v>
      </c>
      <c r="E313" t="s">
        <v>34</v>
      </c>
      <c r="F313" t="s">
        <v>35</v>
      </c>
      <c r="G313" t="s">
        <v>49</v>
      </c>
      <c r="H313">
        <v>10</v>
      </c>
      <c r="I313">
        <v>66.5</v>
      </c>
      <c r="J313">
        <v>0.2</v>
      </c>
      <c r="K313" t="s">
        <v>23</v>
      </c>
      <c r="L313">
        <v>41.69</v>
      </c>
      <c r="M313">
        <f t="shared" si="12"/>
        <v>532</v>
      </c>
      <c r="N313">
        <f t="shared" si="13"/>
        <v>490.31</v>
      </c>
      <c r="O313" t="str">
        <f t="shared" si="14"/>
        <v>East</v>
      </c>
    </row>
    <row r="314" spans="1:15" x14ac:dyDescent="0.3">
      <c r="A314" t="s">
        <v>374</v>
      </c>
      <c r="B314" s="1">
        <v>45780</v>
      </c>
      <c r="C314" t="s">
        <v>108</v>
      </c>
      <c r="D314" t="s">
        <v>64</v>
      </c>
      <c r="E314" t="s">
        <v>34</v>
      </c>
      <c r="F314" t="s">
        <v>28</v>
      </c>
      <c r="G314" t="s">
        <v>40</v>
      </c>
      <c r="H314">
        <v>7</v>
      </c>
      <c r="I314">
        <v>93.6</v>
      </c>
      <c r="J314">
        <v>0.1</v>
      </c>
      <c r="K314" t="s">
        <v>44</v>
      </c>
      <c r="L314">
        <v>67.81</v>
      </c>
      <c r="M314">
        <f t="shared" si="12"/>
        <v>589.67999999999995</v>
      </c>
      <c r="N314">
        <f t="shared" si="13"/>
        <v>521.86999999999989</v>
      </c>
      <c r="O314" t="str">
        <f t="shared" si="14"/>
        <v>West</v>
      </c>
    </row>
    <row r="315" spans="1:15" x14ac:dyDescent="0.3">
      <c r="A315" t="s">
        <v>375</v>
      </c>
      <c r="B315" s="1">
        <v>45664</v>
      </c>
      <c r="C315" t="s">
        <v>32</v>
      </c>
      <c r="D315" t="s">
        <v>61</v>
      </c>
      <c r="E315" t="s">
        <v>34</v>
      </c>
      <c r="F315" t="s">
        <v>35</v>
      </c>
      <c r="G315" t="s">
        <v>49</v>
      </c>
      <c r="H315">
        <v>2</v>
      </c>
      <c r="I315">
        <v>87.43</v>
      </c>
      <c r="J315">
        <v>0.2</v>
      </c>
      <c r="K315" t="s">
        <v>18</v>
      </c>
      <c r="L315">
        <v>69.069999999999993</v>
      </c>
      <c r="M315">
        <f t="shared" si="12"/>
        <v>139.88800000000001</v>
      </c>
      <c r="N315">
        <f t="shared" si="13"/>
        <v>70.818000000000012</v>
      </c>
      <c r="O315" t="str">
        <f t="shared" si="14"/>
        <v>East</v>
      </c>
    </row>
    <row r="316" spans="1:15" x14ac:dyDescent="0.3">
      <c r="A316" t="s">
        <v>376</v>
      </c>
      <c r="B316" s="1">
        <v>45695</v>
      </c>
      <c r="C316" t="s">
        <v>85</v>
      </c>
      <c r="D316" t="s">
        <v>64</v>
      </c>
      <c r="E316" t="s">
        <v>34</v>
      </c>
      <c r="F316" t="s">
        <v>16</v>
      </c>
      <c r="G316" t="s">
        <v>40</v>
      </c>
      <c r="H316">
        <v>9</v>
      </c>
      <c r="I316">
        <v>83.4</v>
      </c>
      <c r="J316">
        <v>0.05</v>
      </c>
      <c r="K316" t="s">
        <v>30</v>
      </c>
      <c r="L316">
        <v>63.05</v>
      </c>
      <c r="M316">
        <f t="shared" si="12"/>
        <v>713.06999999999994</v>
      </c>
      <c r="N316">
        <f t="shared" si="13"/>
        <v>650.02</v>
      </c>
      <c r="O316" t="str">
        <f t="shared" si="14"/>
        <v>North</v>
      </c>
    </row>
    <row r="317" spans="1:15" x14ac:dyDescent="0.3">
      <c r="A317" t="s">
        <v>377</v>
      </c>
      <c r="B317" s="1">
        <v>45979</v>
      </c>
      <c r="C317" t="s">
        <v>52</v>
      </c>
      <c r="D317" t="s">
        <v>70</v>
      </c>
      <c r="E317" t="s">
        <v>34</v>
      </c>
      <c r="F317" t="s">
        <v>28</v>
      </c>
      <c r="G317" t="s">
        <v>65</v>
      </c>
      <c r="H317">
        <v>1</v>
      </c>
      <c r="I317">
        <v>27.99</v>
      </c>
      <c r="J317">
        <v>0.15</v>
      </c>
      <c r="K317" t="s">
        <v>18</v>
      </c>
      <c r="L317">
        <v>19.22</v>
      </c>
      <c r="M317">
        <f t="shared" si="12"/>
        <v>23.791499999999999</v>
      </c>
      <c r="N317">
        <f t="shared" si="13"/>
        <v>4.5715000000000003</v>
      </c>
      <c r="O317" t="str">
        <f t="shared" si="14"/>
        <v>West</v>
      </c>
    </row>
    <row r="318" spans="1:15" x14ac:dyDescent="0.3">
      <c r="A318" t="s">
        <v>378</v>
      </c>
      <c r="B318" s="1">
        <v>45700</v>
      </c>
      <c r="C318" t="s">
        <v>79</v>
      </c>
      <c r="D318" t="s">
        <v>14</v>
      </c>
      <c r="E318" t="s">
        <v>15</v>
      </c>
      <c r="F318" t="s">
        <v>16</v>
      </c>
      <c r="G318" t="s">
        <v>17</v>
      </c>
      <c r="H318">
        <v>9</v>
      </c>
      <c r="I318">
        <v>556.21</v>
      </c>
      <c r="J318">
        <v>0.2</v>
      </c>
      <c r="K318" t="s">
        <v>44</v>
      </c>
      <c r="L318">
        <v>328.84</v>
      </c>
      <c r="M318">
        <f t="shared" si="12"/>
        <v>4004.7120000000004</v>
      </c>
      <c r="N318">
        <f t="shared" si="13"/>
        <v>3675.8720000000003</v>
      </c>
      <c r="O318" t="str">
        <f t="shared" si="14"/>
        <v>North</v>
      </c>
    </row>
    <row r="319" spans="1:15" x14ac:dyDescent="0.3">
      <c r="A319" t="s">
        <v>379</v>
      </c>
      <c r="B319" s="1">
        <v>45990</v>
      </c>
      <c r="C319" t="s">
        <v>37</v>
      </c>
      <c r="D319" t="s">
        <v>33</v>
      </c>
      <c r="E319" t="s">
        <v>34</v>
      </c>
      <c r="F319" t="s">
        <v>35</v>
      </c>
      <c r="G319" t="s">
        <v>22</v>
      </c>
      <c r="H319">
        <v>7</v>
      </c>
      <c r="I319">
        <v>115.09</v>
      </c>
      <c r="J319">
        <v>0.2</v>
      </c>
      <c r="K319" t="s">
        <v>18</v>
      </c>
      <c r="L319">
        <v>83.01</v>
      </c>
      <c r="M319">
        <f t="shared" si="12"/>
        <v>644.50400000000002</v>
      </c>
      <c r="N319">
        <f t="shared" si="13"/>
        <v>561.49400000000003</v>
      </c>
      <c r="O319" t="str">
        <f t="shared" si="14"/>
        <v>East</v>
      </c>
    </row>
    <row r="320" spans="1:15" x14ac:dyDescent="0.3">
      <c r="A320" t="s">
        <v>380</v>
      </c>
      <c r="B320" s="1">
        <v>45971</v>
      </c>
      <c r="C320" t="s">
        <v>104</v>
      </c>
      <c r="D320" t="s">
        <v>70</v>
      </c>
      <c r="E320" t="s">
        <v>34</v>
      </c>
      <c r="F320" t="s">
        <v>16</v>
      </c>
      <c r="G320" t="s">
        <v>29</v>
      </c>
      <c r="H320">
        <v>2</v>
      </c>
      <c r="I320">
        <v>29.34</v>
      </c>
      <c r="J320">
        <v>0.15</v>
      </c>
      <c r="K320" t="s">
        <v>44</v>
      </c>
      <c r="L320">
        <v>17.059999999999999</v>
      </c>
      <c r="M320">
        <f t="shared" si="12"/>
        <v>49.878</v>
      </c>
      <c r="N320">
        <f t="shared" si="13"/>
        <v>32.817999999999998</v>
      </c>
      <c r="O320" t="str">
        <f t="shared" si="14"/>
        <v>North</v>
      </c>
    </row>
    <row r="321" spans="1:15" x14ac:dyDescent="0.3">
      <c r="A321" t="s">
        <v>381</v>
      </c>
      <c r="B321" s="1">
        <v>45835</v>
      </c>
      <c r="C321" t="s">
        <v>52</v>
      </c>
      <c r="D321" t="s">
        <v>14</v>
      </c>
      <c r="E321" t="s">
        <v>15</v>
      </c>
      <c r="F321" t="s">
        <v>35</v>
      </c>
      <c r="G321" t="s">
        <v>49</v>
      </c>
      <c r="H321">
        <v>3</v>
      </c>
      <c r="I321">
        <v>305.07</v>
      </c>
      <c r="J321">
        <v>0</v>
      </c>
      <c r="K321" t="s">
        <v>30</v>
      </c>
      <c r="L321">
        <v>181.28</v>
      </c>
      <c r="M321">
        <f t="shared" si="12"/>
        <v>915.21</v>
      </c>
      <c r="N321">
        <f t="shared" si="13"/>
        <v>733.93000000000006</v>
      </c>
      <c r="O321" t="str">
        <f t="shared" si="14"/>
        <v>East</v>
      </c>
    </row>
    <row r="322" spans="1:15" x14ac:dyDescent="0.3">
      <c r="A322" t="s">
        <v>382</v>
      </c>
      <c r="B322" s="1">
        <v>45673</v>
      </c>
      <c r="C322" t="s">
        <v>67</v>
      </c>
      <c r="D322" t="s">
        <v>33</v>
      </c>
      <c r="E322" t="s">
        <v>34</v>
      </c>
      <c r="F322" t="s">
        <v>28</v>
      </c>
      <c r="G322" t="s">
        <v>29</v>
      </c>
      <c r="H322">
        <v>5</v>
      </c>
      <c r="I322">
        <v>144.97</v>
      </c>
      <c r="J322">
        <v>0</v>
      </c>
      <c r="K322" t="s">
        <v>23</v>
      </c>
      <c r="L322">
        <v>109.93</v>
      </c>
      <c r="M322">
        <f t="shared" ref="M322:M385" si="15">H322*I322*(1-J322)</f>
        <v>724.85</v>
      </c>
      <c r="N322">
        <f t="shared" ref="N322:N385" si="16">M322-L322</f>
        <v>614.92000000000007</v>
      </c>
      <c r="O322" t="str">
        <f t="shared" ref="O322:O385" si="17">TRIM(CLEAN(SUBSTITUTE(F322,CHAR(160)," ")))</f>
        <v>West</v>
      </c>
    </row>
    <row r="323" spans="1:15" x14ac:dyDescent="0.3">
      <c r="A323" t="s">
        <v>383</v>
      </c>
      <c r="B323" s="1">
        <v>45919</v>
      </c>
      <c r="C323" t="s">
        <v>32</v>
      </c>
      <c r="D323" t="s">
        <v>14</v>
      </c>
      <c r="E323" t="s">
        <v>15</v>
      </c>
      <c r="F323" t="s">
        <v>16</v>
      </c>
      <c r="G323" t="s">
        <v>65</v>
      </c>
      <c r="H323">
        <v>10</v>
      </c>
      <c r="I323">
        <v>405.18</v>
      </c>
      <c r="J323">
        <v>0</v>
      </c>
      <c r="K323" t="s">
        <v>23</v>
      </c>
      <c r="L323">
        <v>277.13</v>
      </c>
      <c r="M323">
        <f t="shared" si="15"/>
        <v>4051.8</v>
      </c>
      <c r="N323">
        <f t="shared" si="16"/>
        <v>3774.67</v>
      </c>
      <c r="O323" t="str">
        <f t="shared" si="17"/>
        <v>North</v>
      </c>
    </row>
    <row r="324" spans="1:15" x14ac:dyDescent="0.3">
      <c r="A324" t="s">
        <v>384</v>
      </c>
      <c r="B324" s="1">
        <v>46003</v>
      </c>
      <c r="C324" t="s">
        <v>76</v>
      </c>
      <c r="D324" t="s">
        <v>33</v>
      </c>
      <c r="E324" t="s">
        <v>34</v>
      </c>
      <c r="F324" t="s">
        <v>21</v>
      </c>
      <c r="G324" t="s">
        <v>22</v>
      </c>
      <c r="H324">
        <v>5</v>
      </c>
      <c r="I324">
        <v>91.48</v>
      </c>
      <c r="J324">
        <v>0</v>
      </c>
      <c r="K324" t="s">
        <v>23</v>
      </c>
      <c r="L324">
        <v>72.400000000000006</v>
      </c>
      <c r="M324">
        <f t="shared" si="15"/>
        <v>457.40000000000003</v>
      </c>
      <c r="N324">
        <f t="shared" si="16"/>
        <v>385</v>
      </c>
      <c r="O324" t="str">
        <f t="shared" si="17"/>
        <v>South</v>
      </c>
    </row>
    <row r="325" spans="1:15" x14ac:dyDescent="0.3">
      <c r="A325" t="s">
        <v>385</v>
      </c>
      <c r="B325" s="1">
        <v>45844</v>
      </c>
      <c r="C325" t="s">
        <v>55</v>
      </c>
      <c r="D325" t="s">
        <v>20</v>
      </c>
      <c r="E325" t="s">
        <v>15</v>
      </c>
      <c r="F325" t="s">
        <v>21</v>
      </c>
      <c r="G325" t="s">
        <v>49</v>
      </c>
      <c r="H325">
        <v>1</v>
      </c>
      <c r="I325">
        <v>661.01</v>
      </c>
      <c r="J325">
        <v>0.05</v>
      </c>
      <c r="K325" t="s">
        <v>53</v>
      </c>
      <c r="L325">
        <v>371.76</v>
      </c>
      <c r="M325">
        <f t="shared" si="15"/>
        <v>627.95949999999993</v>
      </c>
      <c r="N325">
        <f t="shared" si="16"/>
        <v>256.19949999999994</v>
      </c>
      <c r="O325" t="str">
        <f t="shared" si="17"/>
        <v>South</v>
      </c>
    </row>
    <row r="326" spans="1:15" x14ac:dyDescent="0.3">
      <c r="A326" t="s">
        <v>386</v>
      </c>
      <c r="B326" s="1">
        <v>45871</v>
      </c>
      <c r="C326" t="s">
        <v>67</v>
      </c>
      <c r="D326" t="s">
        <v>46</v>
      </c>
      <c r="E326" t="s">
        <v>15</v>
      </c>
      <c r="F326" t="s">
        <v>35</v>
      </c>
      <c r="G326" t="s">
        <v>40</v>
      </c>
      <c r="H326">
        <v>7</v>
      </c>
      <c r="I326">
        <v>440.93</v>
      </c>
      <c r="J326">
        <v>0.05</v>
      </c>
      <c r="K326" t="s">
        <v>23</v>
      </c>
      <c r="L326">
        <v>280.82</v>
      </c>
      <c r="M326">
        <f t="shared" si="15"/>
        <v>2932.1844999999998</v>
      </c>
      <c r="N326">
        <f t="shared" si="16"/>
        <v>2651.3644999999997</v>
      </c>
      <c r="O326" t="str">
        <f t="shared" si="17"/>
        <v>East</v>
      </c>
    </row>
    <row r="327" spans="1:15" x14ac:dyDescent="0.3">
      <c r="A327" t="s">
        <v>387</v>
      </c>
      <c r="B327" s="1">
        <v>45922</v>
      </c>
      <c r="C327" t="s">
        <v>125</v>
      </c>
      <c r="D327" t="s">
        <v>39</v>
      </c>
      <c r="E327" t="s">
        <v>27</v>
      </c>
      <c r="F327" t="s">
        <v>28</v>
      </c>
      <c r="G327" t="s">
        <v>40</v>
      </c>
      <c r="H327">
        <v>1</v>
      </c>
      <c r="I327">
        <v>147.46</v>
      </c>
      <c r="J327">
        <v>0.05</v>
      </c>
      <c r="K327" t="s">
        <v>18</v>
      </c>
      <c r="L327">
        <v>89.99</v>
      </c>
      <c r="M327">
        <f t="shared" si="15"/>
        <v>140.08699999999999</v>
      </c>
      <c r="N327">
        <f t="shared" si="16"/>
        <v>50.096999999999994</v>
      </c>
      <c r="O327" t="str">
        <f t="shared" si="17"/>
        <v>West</v>
      </c>
    </row>
    <row r="328" spans="1:15" x14ac:dyDescent="0.3">
      <c r="A328" t="s">
        <v>388</v>
      </c>
      <c r="B328" s="1">
        <v>45891</v>
      </c>
      <c r="C328" t="s">
        <v>85</v>
      </c>
      <c r="D328" t="s">
        <v>43</v>
      </c>
      <c r="E328" t="s">
        <v>15</v>
      </c>
      <c r="F328" t="s">
        <v>35</v>
      </c>
      <c r="G328" t="s">
        <v>49</v>
      </c>
      <c r="H328">
        <v>5</v>
      </c>
      <c r="I328">
        <v>343.38</v>
      </c>
      <c r="J328">
        <v>0.1</v>
      </c>
      <c r="K328" t="s">
        <v>30</v>
      </c>
      <c r="L328">
        <v>196.87</v>
      </c>
      <c r="M328">
        <f t="shared" si="15"/>
        <v>1545.21</v>
      </c>
      <c r="N328">
        <f t="shared" si="16"/>
        <v>1348.3400000000001</v>
      </c>
      <c r="O328" t="str">
        <f t="shared" si="17"/>
        <v>East</v>
      </c>
    </row>
    <row r="329" spans="1:15" x14ac:dyDescent="0.3">
      <c r="A329" t="s">
        <v>389</v>
      </c>
      <c r="B329" s="1">
        <v>45960</v>
      </c>
      <c r="C329" t="s">
        <v>108</v>
      </c>
      <c r="D329" t="s">
        <v>64</v>
      </c>
      <c r="E329" t="s">
        <v>34</v>
      </c>
      <c r="F329" t="s">
        <v>21</v>
      </c>
      <c r="G329" t="s">
        <v>22</v>
      </c>
      <c r="H329">
        <v>10</v>
      </c>
      <c r="I329">
        <v>125.22</v>
      </c>
      <c r="J329">
        <v>0.05</v>
      </c>
      <c r="K329" t="s">
        <v>23</v>
      </c>
      <c r="L329">
        <v>84.56</v>
      </c>
      <c r="M329">
        <f t="shared" si="15"/>
        <v>1189.5899999999999</v>
      </c>
      <c r="N329">
        <f t="shared" si="16"/>
        <v>1105.03</v>
      </c>
      <c r="O329" t="str">
        <f t="shared" si="17"/>
        <v>South</v>
      </c>
    </row>
    <row r="330" spans="1:15" x14ac:dyDescent="0.3">
      <c r="A330" t="s">
        <v>390</v>
      </c>
      <c r="B330" s="1">
        <v>45835</v>
      </c>
      <c r="C330" t="s">
        <v>85</v>
      </c>
      <c r="D330" t="s">
        <v>70</v>
      </c>
      <c r="E330" t="s">
        <v>34</v>
      </c>
      <c r="F330" t="s">
        <v>35</v>
      </c>
      <c r="G330" t="s">
        <v>40</v>
      </c>
      <c r="H330">
        <v>7</v>
      </c>
      <c r="I330">
        <v>36.29</v>
      </c>
      <c r="J330">
        <v>0</v>
      </c>
      <c r="K330" t="s">
        <v>18</v>
      </c>
      <c r="L330">
        <v>22.24</v>
      </c>
      <c r="M330">
        <f t="shared" si="15"/>
        <v>254.03</v>
      </c>
      <c r="N330">
        <f t="shared" si="16"/>
        <v>231.79</v>
      </c>
      <c r="O330" t="str">
        <f t="shared" si="17"/>
        <v>East</v>
      </c>
    </row>
    <row r="331" spans="1:15" x14ac:dyDescent="0.3">
      <c r="A331" t="s">
        <v>391</v>
      </c>
      <c r="B331" s="1">
        <v>45688</v>
      </c>
      <c r="C331" t="s">
        <v>92</v>
      </c>
      <c r="D331" t="s">
        <v>43</v>
      </c>
      <c r="E331" t="s">
        <v>15</v>
      </c>
      <c r="F331" t="s">
        <v>35</v>
      </c>
      <c r="G331" t="s">
        <v>40</v>
      </c>
      <c r="H331">
        <v>9</v>
      </c>
      <c r="I331">
        <v>175.99</v>
      </c>
      <c r="J331">
        <v>0.05</v>
      </c>
      <c r="K331" t="s">
        <v>53</v>
      </c>
      <c r="L331">
        <v>116.74</v>
      </c>
      <c r="M331">
        <f t="shared" si="15"/>
        <v>1504.7145</v>
      </c>
      <c r="N331">
        <f t="shared" si="16"/>
        <v>1387.9745</v>
      </c>
      <c r="O331" t="str">
        <f t="shared" si="17"/>
        <v>East</v>
      </c>
    </row>
    <row r="332" spans="1:15" x14ac:dyDescent="0.3">
      <c r="A332" t="s">
        <v>392</v>
      </c>
      <c r="B332" s="1">
        <v>45848</v>
      </c>
      <c r="C332" t="s">
        <v>73</v>
      </c>
      <c r="D332" t="s">
        <v>70</v>
      </c>
      <c r="E332" t="s">
        <v>34</v>
      </c>
      <c r="F332" t="s">
        <v>16</v>
      </c>
      <c r="G332" t="s">
        <v>17</v>
      </c>
      <c r="H332">
        <v>9</v>
      </c>
      <c r="I332">
        <v>92.3</v>
      </c>
      <c r="J332">
        <v>0.15</v>
      </c>
      <c r="K332" t="s">
        <v>53</v>
      </c>
      <c r="L332">
        <v>68.23</v>
      </c>
      <c r="M332">
        <f t="shared" si="15"/>
        <v>706.09499999999991</v>
      </c>
      <c r="N332">
        <f t="shared" si="16"/>
        <v>637.8649999999999</v>
      </c>
      <c r="O332" t="str">
        <f t="shared" si="17"/>
        <v>North</v>
      </c>
    </row>
    <row r="333" spans="1:15" x14ac:dyDescent="0.3">
      <c r="A333" t="s">
        <v>393</v>
      </c>
      <c r="B333" s="1">
        <v>45689</v>
      </c>
      <c r="C333" t="s">
        <v>100</v>
      </c>
      <c r="D333" t="s">
        <v>46</v>
      </c>
      <c r="E333" t="s">
        <v>15</v>
      </c>
      <c r="F333" t="s">
        <v>21</v>
      </c>
      <c r="G333" t="s">
        <v>49</v>
      </c>
      <c r="H333">
        <v>7</v>
      </c>
      <c r="I333">
        <v>240.05</v>
      </c>
      <c r="J333">
        <v>0</v>
      </c>
      <c r="K333" t="s">
        <v>30</v>
      </c>
      <c r="L333">
        <v>170.39</v>
      </c>
      <c r="M333">
        <f t="shared" si="15"/>
        <v>1680.3500000000001</v>
      </c>
      <c r="N333">
        <f t="shared" si="16"/>
        <v>1509.96</v>
      </c>
      <c r="O333" t="str">
        <f t="shared" si="17"/>
        <v>South</v>
      </c>
    </row>
    <row r="334" spans="1:15" x14ac:dyDescent="0.3">
      <c r="A334" t="s">
        <v>394</v>
      </c>
      <c r="B334" s="1">
        <v>45797</v>
      </c>
      <c r="C334" t="s">
        <v>69</v>
      </c>
      <c r="D334" t="s">
        <v>43</v>
      </c>
      <c r="E334" t="s">
        <v>15</v>
      </c>
      <c r="F334" t="s">
        <v>16</v>
      </c>
      <c r="G334" t="s">
        <v>49</v>
      </c>
      <c r="H334">
        <v>7</v>
      </c>
      <c r="I334">
        <v>362.73</v>
      </c>
      <c r="J334">
        <v>0.1</v>
      </c>
      <c r="K334" t="s">
        <v>44</v>
      </c>
      <c r="L334">
        <v>230.65</v>
      </c>
      <c r="M334">
        <f t="shared" si="15"/>
        <v>2285.1990000000001</v>
      </c>
      <c r="N334">
        <f t="shared" si="16"/>
        <v>2054.549</v>
      </c>
      <c r="O334" t="str">
        <f t="shared" si="17"/>
        <v>North</v>
      </c>
    </row>
    <row r="335" spans="1:15" x14ac:dyDescent="0.3">
      <c r="A335" t="s">
        <v>395</v>
      </c>
      <c r="B335" s="1">
        <v>45818</v>
      </c>
      <c r="C335" t="s">
        <v>100</v>
      </c>
      <c r="D335" t="s">
        <v>64</v>
      </c>
      <c r="E335" t="s">
        <v>34</v>
      </c>
      <c r="F335" t="s">
        <v>16</v>
      </c>
      <c r="G335" t="s">
        <v>17</v>
      </c>
      <c r="H335">
        <v>2</v>
      </c>
      <c r="I335">
        <v>47.53</v>
      </c>
      <c r="J335">
        <v>0.05</v>
      </c>
      <c r="K335" t="s">
        <v>30</v>
      </c>
      <c r="L335">
        <v>31.91</v>
      </c>
      <c r="M335">
        <f t="shared" si="15"/>
        <v>90.307000000000002</v>
      </c>
      <c r="N335">
        <f t="shared" si="16"/>
        <v>58.397000000000006</v>
      </c>
      <c r="O335" t="str">
        <f t="shared" si="17"/>
        <v>North</v>
      </c>
    </row>
    <row r="336" spans="1:15" x14ac:dyDescent="0.3">
      <c r="A336" t="s">
        <v>396</v>
      </c>
      <c r="B336" s="1">
        <v>45704</v>
      </c>
      <c r="C336" t="s">
        <v>25</v>
      </c>
      <c r="D336" t="s">
        <v>70</v>
      </c>
      <c r="E336" t="s">
        <v>34</v>
      </c>
      <c r="F336" t="s">
        <v>35</v>
      </c>
      <c r="G336" t="s">
        <v>22</v>
      </c>
      <c r="H336">
        <v>8</v>
      </c>
      <c r="I336">
        <v>58.89</v>
      </c>
      <c r="J336">
        <v>0.1</v>
      </c>
      <c r="K336" t="s">
        <v>23</v>
      </c>
      <c r="L336">
        <v>45.94</v>
      </c>
      <c r="M336">
        <f t="shared" si="15"/>
        <v>424.00800000000004</v>
      </c>
      <c r="N336">
        <f t="shared" si="16"/>
        <v>378.06800000000004</v>
      </c>
      <c r="O336" t="str">
        <f t="shared" si="17"/>
        <v>East</v>
      </c>
    </row>
    <row r="337" spans="1:15" x14ac:dyDescent="0.3">
      <c r="A337" t="s">
        <v>397</v>
      </c>
      <c r="B337" s="1">
        <v>45785</v>
      </c>
      <c r="C337" t="s">
        <v>32</v>
      </c>
      <c r="D337" t="s">
        <v>20</v>
      </c>
      <c r="E337" t="s">
        <v>15</v>
      </c>
      <c r="F337" t="s">
        <v>28</v>
      </c>
      <c r="G337" t="s">
        <v>17</v>
      </c>
      <c r="H337">
        <v>6</v>
      </c>
      <c r="I337">
        <v>703.76</v>
      </c>
      <c r="J337">
        <v>0.05</v>
      </c>
      <c r="K337" t="s">
        <v>53</v>
      </c>
      <c r="L337">
        <v>404.4</v>
      </c>
      <c r="M337">
        <f t="shared" si="15"/>
        <v>4011.4319999999993</v>
      </c>
      <c r="N337">
        <f t="shared" si="16"/>
        <v>3607.0319999999992</v>
      </c>
      <c r="O337" t="str">
        <f t="shared" si="17"/>
        <v>West</v>
      </c>
    </row>
    <row r="338" spans="1:15" x14ac:dyDescent="0.3">
      <c r="A338" t="s">
        <v>398</v>
      </c>
      <c r="B338" s="1">
        <v>45889</v>
      </c>
      <c r="C338" t="s">
        <v>13</v>
      </c>
      <c r="D338" t="s">
        <v>43</v>
      </c>
      <c r="E338" t="s">
        <v>15</v>
      </c>
      <c r="F338" t="s">
        <v>21</v>
      </c>
      <c r="G338" t="s">
        <v>40</v>
      </c>
      <c r="H338">
        <v>3</v>
      </c>
      <c r="I338">
        <v>215.04</v>
      </c>
      <c r="J338">
        <v>0</v>
      </c>
      <c r="K338" t="s">
        <v>18</v>
      </c>
      <c r="L338">
        <v>173.55</v>
      </c>
      <c r="M338">
        <f t="shared" si="15"/>
        <v>645.12</v>
      </c>
      <c r="N338">
        <f t="shared" si="16"/>
        <v>471.57</v>
      </c>
      <c r="O338" t="str">
        <f t="shared" si="17"/>
        <v>South</v>
      </c>
    </row>
    <row r="339" spans="1:15" x14ac:dyDescent="0.3">
      <c r="A339" t="s">
        <v>399</v>
      </c>
      <c r="B339" s="1">
        <v>45771</v>
      </c>
      <c r="C339" t="s">
        <v>92</v>
      </c>
      <c r="D339" t="s">
        <v>14</v>
      </c>
      <c r="E339" t="s">
        <v>15</v>
      </c>
      <c r="F339" t="s">
        <v>21</v>
      </c>
      <c r="G339" t="s">
        <v>65</v>
      </c>
      <c r="H339">
        <v>3</v>
      </c>
      <c r="I339">
        <v>621.55999999999995</v>
      </c>
      <c r="J339">
        <v>0</v>
      </c>
      <c r="K339" t="s">
        <v>30</v>
      </c>
      <c r="L339">
        <v>343.86</v>
      </c>
      <c r="M339">
        <f t="shared" si="15"/>
        <v>1864.6799999999998</v>
      </c>
      <c r="N339">
        <f t="shared" si="16"/>
        <v>1520.8199999999997</v>
      </c>
      <c r="O339" t="str">
        <f t="shared" si="17"/>
        <v>South</v>
      </c>
    </row>
    <row r="340" spans="1:15" x14ac:dyDescent="0.3">
      <c r="A340" t="s">
        <v>400</v>
      </c>
      <c r="B340" s="1">
        <v>45691</v>
      </c>
      <c r="C340" t="s">
        <v>48</v>
      </c>
      <c r="D340" t="s">
        <v>14</v>
      </c>
      <c r="E340" t="s">
        <v>15</v>
      </c>
      <c r="F340" t="s">
        <v>28</v>
      </c>
      <c r="G340" t="s">
        <v>49</v>
      </c>
      <c r="H340">
        <v>5</v>
      </c>
      <c r="I340">
        <v>532.92999999999995</v>
      </c>
      <c r="J340">
        <v>0</v>
      </c>
      <c r="K340" t="s">
        <v>53</v>
      </c>
      <c r="L340">
        <v>296.25</v>
      </c>
      <c r="M340">
        <f t="shared" si="15"/>
        <v>2664.6499999999996</v>
      </c>
      <c r="N340">
        <f t="shared" si="16"/>
        <v>2368.3999999999996</v>
      </c>
      <c r="O340" t="str">
        <f t="shared" si="17"/>
        <v>West</v>
      </c>
    </row>
    <row r="341" spans="1:15" x14ac:dyDescent="0.3">
      <c r="A341" t="s">
        <v>401</v>
      </c>
      <c r="B341" s="1">
        <v>45951</v>
      </c>
      <c r="C341" t="s">
        <v>100</v>
      </c>
      <c r="D341" t="s">
        <v>39</v>
      </c>
      <c r="E341" t="s">
        <v>27</v>
      </c>
      <c r="F341" t="s">
        <v>28</v>
      </c>
      <c r="G341" t="s">
        <v>65</v>
      </c>
      <c r="H341">
        <v>8</v>
      </c>
      <c r="I341">
        <v>148.18</v>
      </c>
      <c r="J341">
        <v>0</v>
      </c>
      <c r="K341" t="s">
        <v>53</v>
      </c>
      <c r="L341">
        <v>88.22</v>
      </c>
      <c r="M341">
        <f t="shared" si="15"/>
        <v>1185.44</v>
      </c>
      <c r="N341">
        <f t="shared" si="16"/>
        <v>1097.22</v>
      </c>
      <c r="O341" t="str">
        <f t="shared" si="17"/>
        <v>West</v>
      </c>
    </row>
    <row r="342" spans="1:15" x14ac:dyDescent="0.3">
      <c r="A342" t="s">
        <v>402</v>
      </c>
      <c r="B342" s="1">
        <v>45753</v>
      </c>
      <c r="C342" t="s">
        <v>42</v>
      </c>
      <c r="D342" t="s">
        <v>26</v>
      </c>
      <c r="E342" t="s">
        <v>27</v>
      </c>
      <c r="F342" t="s">
        <v>35</v>
      </c>
      <c r="G342" t="s">
        <v>65</v>
      </c>
      <c r="H342">
        <v>3</v>
      </c>
      <c r="I342">
        <v>236.64</v>
      </c>
      <c r="J342">
        <v>0.1</v>
      </c>
      <c r="K342" t="s">
        <v>44</v>
      </c>
      <c r="L342">
        <v>143.87</v>
      </c>
      <c r="M342">
        <f t="shared" si="15"/>
        <v>638.928</v>
      </c>
      <c r="N342">
        <f t="shared" si="16"/>
        <v>495.05799999999999</v>
      </c>
      <c r="O342" t="str">
        <f t="shared" si="17"/>
        <v>East</v>
      </c>
    </row>
    <row r="343" spans="1:15" x14ac:dyDescent="0.3">
      <c r="A343" t="s">
        <v>403</v>
      </c>
      <c r="B343" s="1">
        <v>45913</v>
      </c>
      <c r="C343" t="s">
        <v>100</v>
      </c>
      <c r="D343" t="s">
        <v>20</v>
      </c>
      <c r="E343" t="s">
        <v>15</v>
      </c>
      <c r="F343" t="s">
        <v>28</v>
      </c>
      <c r="G343" t="s">
        <v>40</v>
      </c>
      <c r="H343">
        <v>10</v>
      </c>
      <c r="I343">
        <v>803.53</v>
      </c>
      <c r="J343">
        <v>0.05</v>
      </c>
      <c r="K343" t="s">
        <v>53</v>
      </c>
      <c r="L343">
        <v>582.37</v>
      </c>
      <c r="M343">
        <f t="shared" si="15"/>
        <v>7633.5349999999989</v>
      </c>
      <c r="N343">
        <f t="shared" si="16"/>
        <v>7051.1649999999991</v>
      </c>
      <c r="O343" t="str">
        <f t="shared" si="17"/>
        <v>West</v>
      </c>
    </row>
    <row r="344" spans="1:15" x14ac:dyDescent="0.3">
      <c r="A344" t="s">
        <v>404</v>
      </c>
      <c r="B344" s="1">
        <v>45927</v>
      </c>
      <c r="C344" t="s">
        <v>69</v>
      </c>
      <c r="D344" t="s">
        <v>43</v>
      </c>
      <c r="E344" t="s">
        <v>15</v>
      </c>
      <c r="F344" t="s">
        <v>16</v>
      </c>
      <c r="G344" t="s">
        <v>65</v>
      </c>
      <c r="H344">
        <v>7</v>
      </c>
      <c r="I344">
        <v>245.75</v>
      </c>
      <c r="J344">
        <v>0.05</v>
      </c>
      <c r="K344" t="s">
        <v>30</v>
      </c>
      <c r="L344">
        <v>177.8</v>
      </c>
      <c r="M344">
        <f t="shared" si="15"/>
        <v>1634.2375</v>
      </c>
      <c r="N344">
        <f t="shared" si="16"/>
        <v>1456.4375</v>
      </c>
      <c r="O344" t="str">
        <f t="shared" si="17"/>
        <v>North</v>
      </c>
    </row>
    <row r="345" spans="1:15" x14ac:dyDescent="0.3">
      <c r="A345" t="s">
        <v>405</v>
      </c>
      <c r="B345" s="1">
        <v>45915</v>
      </c>
      <c r="C345" t="s">
        <v>67</v>
      </c>
      <c r="D345" t="s">
        <v>61</v>
      </c>
      <c r="E345" t="s">
        <v>34</v>
      </c>
      <c r="F345" t="s">
        <v>28</v>
      </c>
      <c r="G345" t="s">
        <v>29</v>
      </c>
      <c r="H345">
        <v>8</v>
      </c>
      <c r="I345">
        <v>79.010000000000005</v>
      </c>
      <c r="J345">
        <v>0.1</v>
      </c>
      <c r="K345" t="s">
        <v>44</v>
      </c>
      <c r="L345">
        <v>62.93</v>
      </c>
      <c r="M345">
        <f t="shared" si="15"/>
        <v>568.87200000000007</v>
      </c>
      <c r="N345">
        <f t="shared" si="16"/>
        <v>505.94200000000006</v>
      </c>
      <c r="O345" t="str">
        <f t="shared" si="17"/>
        <v>West</v>
      </c>
    </row>
    <row r="346" spans="1:15" x14ac:dyDescent="0.3">
      <c r="A346" t="s">
        <v>406</v>
      </c>
      <c r="B346" s="1">
        <v>45801</v>
      </c>
      <c r="C346" t="s">
        <v>125</v>
      </c>
      <c r="D346" t="s">
        <v>20</v>
      </c>
      <c r="E346" t="s">
        <v>15</v>
      </c>
      <c r="F346" t="s">
        <v>28</v>
      </c>
      <c r="G346" t="s">
        <v>17</v>
      </c>
      <c r="H346">
        <v>4</v>
      </c>
      <c r="I346">
        <v>729.72</v>
      </c>
      <c r="J346">
        <v>0</v>
      </c>
      <c r="K346" t="s">
        <v>30</v>
      </c>
      <c r="L346">
        <v>577.83000000000004</v>
      </c>
      <c r="M346">
        <f t="shared" si="15"/>
        <v>2918.88</v>
      </c>
      <c r="N346">
        <f t="shared" si="16"/>
        <v>2341.0500000000002</v>
      </c>
      <c r="O346" t="str">
        <f t="shared" si="17"/>
        <v>West</v>
      </c>
    </row>
    <row r="347" spans="1:15" x14ac:dyDescent="0.3">
      <c r="A347" t="s">
        <v>407</v>
      </c>
      <c r="B347" s="1">
        <v>45781</v>
      </c>
      <c r="C347" t="s">
        <v>42</v>
      </c>
      <c r="D347" t="s">
        <v>64</v>
      </c>
      <c r="E347" t="s">
        <v>34</v>
      </c>
      <c r="F347" t="s">
        <v>16</v>
      </c>
      <c r="G347" t="s">
        <v>49</v>
      </c>
      <c r="H347">
        <v>3</v>
      </c>
      <c r="I347">
        <v>149.94999999999999</v>
      </c>
      <c r="J347">
        <v>0</v>
      </c>
      <c r="K347" t="s">
        <v>23</v>
      </c>
      <c r="L347">
        <v>92.51</v>
      </c>
      <c r="M347">
        <f t="shared" si="15"/>
        <v>449.84999999999997</v>
      </c>
      <c r="N347">
        <f t="shared" si="16"/>
        <v>357.34</v>
      </c>
      <c r="O347" t="str">
        <f t="shared" si="17"/>
        <v>North</v>
      </c>
    </row>
    <row r="348" spans="1:15" x14ac:dyDescent="0.3">
      <c r="A348" t="s">
        <v>408</v>
      </c>
      <c r="B348" s="1">
        <v>45820</v>
      </c>
      <c r="C348" t="s">
        <v>32</v>
      </c>
      <c r="D348" t="s">
        <v>26</v>
      </c>
      <c r="E348" t="s">
        <v>27</v>
      </c>
      <c r="F348" t="s">
        <v>16</v>
      </c>
      <c r="G348" t="s">
        <v>22</v>
      </c>
      <c r="H348">
        <v>3</v>
      </c>
      <c r="I348">
        <v>170.96</v>
      </c>
      <c r="J348">
        <v>0.05</v>
      </c>
      <c r="K348" t="s">
        <v>30</v>
      </c>
      <c r="L348">
        <v>104.95</v>
      </c>
      <c r="M348">
        <f t="shared" si="15"/>
        <v>487.23599999999999</v>
      </c>
      <c r="N348">
        <f t="shared" si="16"/>
        <v>382.286</v>
      </c>
      <c r="O348" t="str">
        <f t="shared" si="17"/>
        <v>North</v>
      </c>
    </row>
    <row r="349" spans="1:15" x14ac:dyDescent="0.3">
      <c r="A349" t="s">
        <v>409</v>
      </c>
      <c r="B349" s="1">
        <v>45910</v>
      </c>
      <c r="C349" t="s">
        <v>13</v>
      </c>
      <c r="D349" t="s">
        <v>64</v>
      </c>
      <c r="E349" t="s">
        <v>34</v>
      </c>
      <c r="F349" t="s">
        <v>35</v>
      </c>
      <c r="G349" t="s">
        <v>49</v>
      </c>
      <c r="H349">
        <v>10</v>
      </c>
      <c r="I349">
        <v>99.81</v>
      </c>
      <c r="J349">
        <v>0.05</v>
      </c>
      <c r="K349" t="s">
        <v>18</v>
      </c>
      <c r="L349">
        <v>77.44</v>
      </c>
      <c r="M349">
        <f t="shared" si="15"/>
        <v>948.19499999999994</v>
      </c>
      <c r="N349">
        <f t="shared" si="16"/>
        <v>870.75499999999988</v>
      </c>
      <c r="O349" t="str">
        <f t="shared" si="17"/>
        <v>East</v>
      </c>
    </row>
    <row r="350" spans="1:15" x14ac:dyDescent="0.3">
      <c r="A350" t="s">
        <v>410</v>
      </c>
      <c r="B350" s="1">
        <v>45927</v>
      </c>
      <c r="C350" t="s">
        <v>108</v>
      </c>
      <c r="D350" t="s">
        <v>20</v>
      </c>
      <c r="E350" t="s">
        <v>15</v>
      </c>
      <c r="F350" t="s">
        <v>16</v>
      </c>
      <c r="G350" t="s">
        <v>29</v>
      </c>
      <c r="H350">
        <v>4</v>
      </c>
      <c r="I350">
        <v>672.56</v>
      </c>
      <c r="J350">
        <v>0.2</v>
      </c>
      <c r="K350" t="s">
        <v>23</v>
      </c>
      <c r="L350">
        <v>409.64</v>
      </c>
      <c r="M350">
        <f t="shared" si="15"/>
        <v>2152.192</v>
      </c>
      <c r="N350">
        <f t="shared" si="16"/>
        <v>1742.5520000000001</v>
      </c>
      <c r="O350" t="str">
        <f t="shared" si="17"/>
        <v>North</v>
      </c>
    </row>
    <row r="351" spans="1:15" x14ac:dyDescent="0.3">
      <c r="A351" t="s">
        <v>411</v>
      </c>
      <c r="B351" s="1">
        <v>45823</v>
      </c>
      <c r="C351" t="s">
        <v>125</v>
      </c>
      <c r="D351" t="s">
        <v>70</v>
      </c>
      <c r="E351" t="s">
        <v>34</v>
      </c>
      <c r="F351" t="s">
        <v>16</v>
      </c>
      <c r="G351" t="s">
        <v>49</v>
      </c>
      <c r="H351">
        <v>6</v>
      </c>
      <c r="I351">
        <v>85.48</v>
      </c>
      <c r="J351">
        <v>0.05</v>
      </c>
      <c r="K351" t="s">
        <v>23</v>
      </c>
      <c r="L351">
        <v>68.22</v>
      </c>
      <c r="M351">
        <f t="shared" si="15"/>
        <v>487.23599999999999</v>
      </c>
      <c r="N351">
        <f t="shared" si="16"/>
        <v>419.01599999999996</v>
      </c>
      <c r="O351" t="str">
        <f t="shared" si="17"/>
        <v>North</v>
      </c>
    </row>
    <row r="352" spans="1:15" x14ac:dyDescent="0.3">
      <c r="A352" t="s">
        <v>412</v>
      </c>
      <c r="B352" s="1">
        <v>45849</v>
      </c>
      <c r="C352" t="s">
        <v>55</v>
      </c>
      <c r="D352" t="s">
        <v>33</v>
      </c>
      <c r="E352" t="s">
        <v>34</v>
      </c>
      <c r="F352" t="s">
        <v>16</v>
      </c>
      <c r="G352" t="s">
        <v>29</v>
      </c>
      <c r="H352">
        <v>9</v>
      </c>
      <c r="I352">
        <v>148.41</v>
      </c>
      <c r="J352">
        <v>0.1</v>
      </c>
      <c r="K352" t="s">
        <v>30</v>
      </c>
      <c r="L352">
        <v>120.12</v>
      </c>
      <c r="M352">
        <f t="shared" si="15"/>
        <v>1202.1210000000001</v>
      </c>
      <c r="N352">
        <f t="shared" si="16"/>
        <v>1082.0010000000002</v>
      </c>
      <c r="O352" t="str">
        <f t="shared" si="17"/>
        <v>North</v>
      </c>
    </row>
    <row r="353" spans="1:15" x14ac:dyDescent="0.3">
      <c r="A353" t="s">
        <v>413</v>
      </c>
      <c r="B353" s="1">
        <v>45907</v>
      </c>
      <c r="C353" t="s">
        <v>67</v>
      </c>
      <c r="D353" t="s">
        <v>39</v>
      </c>
      <c r="E353" t="s">
        <v>27</v>
      </c>
      <c r="F353" t="s">
        <v>21</v>
      </c>
      <c r="G353" t="s">
        <v>22</v>
      </c>
      <c r="H353">
        <v>3</v>
      </c>
      <c r="I353">
        <v>151.38</v>
      </c>
      <c r="J353">
        <v>0.15</v>
      </c>
      <c r="K353" t="s">
        <v>23</v>
      </c>
      <c r="L353">
        <v>115.62</v>
      </c>
      <c r="M353">
        <f t="shared" si="15"/>
        <v>386.01900000000001</v>
      </c>
      <c r="N353">
        <f t="shared" si="16"/>
        <v>270.399</v>
      </c>
      <c r="O353" t="str">
        <f t="shared" si="17"/>
        <v>South</v>
      </c>
    </row>
    <row r="354" spans="1:15" x14ac:dyDescent="0.3">
      <c r="A354" t="s">
        <v>414</v>
      </c>
      <c r="B354" s="1">
        <v>45851</v>
      </c>
      <c r="C354" t="s">
        <v>79</v>
      </c>
      <c r="D354" t="s">
        <v>64</v>
      </c>
      <c r="E354" t="s">
        <v>34</v>
      </c>
      <c r="F354" t="s">
        <v>35</v>
      </c>
      <c r="G354" t="s">
        <v>49</v>
      </c>
      <c r="H354">
        <v>4</v>
      </c>
      <c r="I354">
        <v>125.5</v>
      </c>
      <c r="J354">
        <v>0.2</v>
      </c>
      <c r="K354" t="s">
        <v>44</v>
      </c>
      <c r="L354">
        <v>96.62</v>
      </c>
      <c r="M354">
        <f t="shared" si="15"/>
        <v>401.6</v>
      </c>
      <c r="N354">
        <f t="shared" si="16"/>
        <v>304.98</v>
      </c>
      <c r="O354" t="str">
        <f t="shared" si="17"/>
        <v>East</v>
      </c>
    </row>
    <row r="355" spans="1:15" x14ac:dyDescent="0.3">
      <c r="A355" t="s">
        <v>415</v>
      </c>
      <c r="B355" s="1">
        <v>45948</v>
      </c>
      <c r="C355" t="s">
        <v>125</v>
      </c>
      <c r="D355" t="s">
        <v>20</v>
      </c>
      <c r="E355" t="s">
        <v>15</v>
      </c>
      <c r="F355" t="s">
        <v>21</v>
      </c>
      <c r="G355" t="s">
        <v>17</v>
      </c>
      <c r="H355">
        <v>10</v>
      </c>
      <c r="I355">
        <v>887.2</v>
      </c>
      <c r="J355">
        <v>0.15</v>
      </c>
      <c r="K355" t="s">
        <v>30</v>
      </c>
      <c r="L355">
        <v>691.75</v>
      </c>
      <c r="M355">
        <f t="shared" si="15"/>
        <v>7541.2</v>
      </c>
      <c r="N355">
        <f t="shared" si="16"/>
        <v>6849.45</v>
      </c>
      <c r="O355" t="str">
        <f t="shared" si="17"/>
        <v>South</v>
      </c>
    </row>
    <row r="356" spans="1:15" x14ac:dyDescent="0.3">
      <c r="A356" t="s">
        <v>416</v>
      </c>
      <c r="B356" s="1">
        <v>45730</v>
      </c>
      <c r="C356" t="s">
        <v>67</v>
      </c>
      <c r="D356" t="s">
        <v>64</v>
      </c>
      <c r="E356" t="s">
        <v>34</v>
      </c>
      <c r="F356" t="s">
        <v>16</v>
      </c>
      <c r="G356" t="s">
        <v>49</v>
      </c>
      <c r="H356">
        <v>10</v>
      </c>
      <c r="I356">
        <v>60.4</v>
      </c>
      <c r="J356">
        <v>0</v>
      </c>
      <c r="K356" t="s">
        <v>30</v>
      </c>
      <c r="L356">
        <v>48.5</v>
      </c>
      <c r="M356">
        <f t="shared" si="15"/>
        <v>604</v>
      </c>
      <c r="N356">
        <f t="shared" si="16"/>
        <v>555.5</v>
      </c>
      <c r="O356" t="str">
        <f t="shared" si="17"/>
        <v>North</v>
      </c>
    </row>
    <row r="357" spans="1:15" x14ac:dyDescent="0.3">
      <c r="A357" t="s">
        <v>417</v>
      </c>
      <c r="B357" s="1">
        <v>45793</v>
      </c>
      <c r="C357" t="s">
        <v>48</v>
      </c>
      <c r="D357" t="s">
        <v>39</v>
      </c>
      <c r="E357" t="s">
        <v>27</v>
      </c>
      <c r="F357" t="s">
        <v>21</v>
      </c>
      <c r="G357" t="s">
        <v>22</v>
      </c>
      <c r="H357">
        <v>2</v>
      </c>
      <c r="I357">
        <v>158.61000000000001</v>
      </c>
      <c r="J357">
        <v>0.1</v>
      </c>
      <c r="K357" t="s">
        <v>53</v>
      </c>
      <c r="L357">
        <v>106.36</v>
      </c>
      <c r="M357">
        <f t="shared" si="15"/>
        <v>285.49800000000005</v>
      </c>
      <c r="N357">
        <f t="shared" si="16"/>
        <v>179.13800000000003</v>
      </c>
      <c r="O357" t="str">
        <f t="shared" si="17"/>
        <v>South</v>
      </c>
    </row>
    <row r="358" spans="1:15" x14ac:dyDescent="0.3">
      <c r="A358" t="s">
        <v>418</v>
      </c>
      <c r="B358" s="1">
        <v>45882</v>
      </c>
      <c r="C358" t="s">
        <v>100</v>
      </c>
      <c r="D358" t="s">
        <v>39</v>
      </c>
      <c r="E358" t="s">
        <v>27</v>
      </c>
      <c r="F358" t="s">
        <v>21</v>
      </c>
      <c r="G358" t="s">
        <v>65</v>
      </c>
      <c r="H358">
        <v>2</v>
      </c>
      <c r="I358">
        <v>179.03</v>
      </c>
      <c r="J358">
        <v>0</v>
      </c>
      <c r="K358" t="s">
        <v>18</v>
      </c>
      <c r="L358">
        <v>100.79</v>
      </c>
      <c r="M358">
        <f t="shared" si="15"/>
        <v>358.06</v>
      </c>
      <c r="N358">
        <f t="shared" si="16"/>
        <v>257.27</v>
      </c>
      <c r="O358" t="str">
        <f t="shared" si="17"/>
        <v>South</v>
      </c>
    </row>
    <row r="359" spans="1:15" x14ac:dyDescent="0.3">
      <c r="A359" t="s">
        <v>419</v>
      </c>
      <c r="B359" s="1">
        <v>45953</v>
      </c>
      <c r="C359" t="s">
        <v>69</v>
      </c>
      <c r="D359" t="s">
        <v>26</v>
      </c>
      <c r="E359" t="s">
        <v>27</v>
      </c>
      <c r="F359" t="s">
        <v>21</v>
      </c>
      <c r="G359" t="s">
        <v>65</v>
      </c>
      <c r="H359">
        <v>7</v>
      </c>
      <c r="I359">
        <v>170.25</v>
      </c>
      <c r="J359">
        <v>0</v>
      </c>
      <c r="K359" t="s">
        <v>53</v>
      </c>
      <c r="L359">
        <v>131.74</v>
      </c>
      <c r="M359">
        <f t="shared" si="15"/>
        <v>1191.75</v>
      </c>
      <c r="N359">
        <f t="shared" si="16"/>
        <v>1060.01</v>
      </c>
      <c r="O359" t="str">
        <f t="shared" si="17"/>
        <v>South</v>
      </c>
    </row>
    <row r="360" spans="1:15" x14ac:dyDescent="0.3">
      <c r="A360" t="s">
        <v>420</v>
      </c>
      <c r="B360" s="1">
        <v>45695</v>
      </c>
      <c r="C360" t="s">
        <v>67</v>
      </c>
      <c r="D360" t="s">
        <v>20</v>
      </c>
      <c r="E360" t="s">
        <v>15</v>
      </c>
      <c r="F360" t="s">
        <v>21</v>
      </c>
      <c r="G360" t="s">
        <v>65</v>
      </c>
      <c r="H360">
        <v>6</v>
      </c>
      <c r="I360">
        <v>723.73</v>
      </c>
      <c r="J360">
        <v>0.1</v>
      </c>
      <c r="K360" t="s">
        <v>44</v>
      </c>
      <c r="L360">
        <v>584.01</v>
      </c>
      <c r="M360">
        <f t="shared" si="15"/>
        <v>3908.1420000000003</v>
      </c>
      <c r="N360">
        <f t="shared" si="16"/>
        <v>3324.1320000000005</v>
      </c>
      <c r="O360" t="str">
        <f t="shared" si="17"/>
        <v>South</v>
      </c>
    </row>
    <row r="361" spans="1:15" x14ac:dyDescent="0.3">
      <c r="A361" t="s">
        <v>421</v>
      </c>
      <c r="B361" s="1">
        <v>45972</v>
      </c>
      <c r="C361" t="s">
        <v>108</v>
      </c>
      <c r="D361" t="s">
        <v>14</v>
      </c>
      <c r="E361" t="s">
        <v>15</v>
      </c>
      <c r="F361" t="s">
        <v>16</v>
      </c>
      <c r="G361" t="s">
        <v>65</v>
      </c>
      <c r="H361">
        <v>2</v>
      </c>
      <c r="I361">
        <v>518.82000000000005</v>
      </c>
      <c r="J361">
        <v>0.1</v>
      </c>
      <c r="K361" t="s">
        <v>44</v>
      </c>
      <c r="L361">
        <v>368.56</v>
      </c>
      <c r="M361">
        <f t="shared" si="15"/>
        <v>933.87600000000009</v>
      </c>
      <c r="N361">
        <f t="shared" si="16"/>
        <v>565.31600000000003</v>
      </c>
      <c r="O361" t="str">
        <f t="shared" si="17"/>
        <v>North</v>
      </c>
    </row>
    <row r="362" spans="1:15" x14ac:dyDescent="0.3">
      <c r="A362" t="s">
        <v>422</v>
      </c>
      <c r="B362" s="1">
        <v>45763</v>
      </c>
      <c r="C362" t="s">
        <v>48</v>
      </c>
      <c r="D362" t="s">
        <v>64</v>
      </c>
      <c r="E362" t="s">
        <v>34</v>
      </c>
      <c r="F362" t="s">
        <v>28</v>
      </c>
      <c r="G362" t="s">
        <v>22</v>
      </c>
      <c r="H362">
        <v>3</v>
      </c>
      <c r="I362">
        <v>137.32</v>
      </c>
      <c r="J362">
        <v>0</v>
      </c>
      <c r="K362" t="s">
        <v>23</v>
      </c>
      <c r="L362">
        <v>79.28</v>
      </c>
      <c r="M362">
        <f t="shared" si="15"/>
        <v>411.96</v>
      </c>
      <c r="N362">
        <f t="shared" si="16"/>
        <v>332.67999999999995</v>
      </c>
      <c r="O362" t="str">
        <f t="shared" si="17"/>
        <v>West</v>
      </c>
    </row>
    <row r="363" spans="1:15" x14ac:dyDescent="0.3">
      <c r="A363" t="s">
        <v>423</v>
      </c>
      <c r="B363" s="1">
        <v>45683</v>
      </c>
      <c r="C363" t="s">
        <v>55</v>
      </c>
      <c r="D363" t="s">
        <v>46</v>
      </c>
      <c r="E363" t="s">
        <v>15</v>
      </c>
      <c r="F363" t="s">
        <v>28</v>
      </c>
      <c r="G363" t="s">
        <v>49</v>
      </c>
      <c r="H363">
        <v>5</v>
      </c>
      <c r="I363">
        <v>279.58</v>
      </c>
      <c r="J363">
        <v>0.1</v>
      </c>
      <c r="K363" t="s">
        <v>53</v>
      </c>
      <c r="L363">
        <v>171.7</v>
      </c>
      <c r="M363">
        <f t="shared" si="15"/>
        <v>1258.1099999999999</v>
      </c>
      <c r="N363">
        <f t="shared" si="16"/>
        <v>1086.4099999999999</v>
      </c>
      <c r="O363" t="str">
        <f t="shared" si="17"/>
        <v>West</v>
      </c>
    </row>
    <row r="364" spans="1:15" x14ac:dyDescent="0.3">
      <c r="A364" t="s">
        <v>424</v>
      </c>
      <c r="B364" s="1">
        <v>45978</v>
      </c>
      <c r="C364" t="s">
        <v>104</v>
      </c>
      <c r="D364" t="s">
        <v>39</v>
      </c>
      <c r="E364" t="s">
        <v>27</v>
      </c>
      <c r="F364" t="s">
        <v>28</v>
      </c>
      <c r="G364" t="s">
        <v>49</v>
      </c>
      <c r="H364">
        <v>2</v>
      </c>
      <c r="I364">
        <v>120.88</v>
      </c>
      <c r="J364">
        <v>0.1</v>
      </c>
      <c r="K364" t="s">
        <v>53</v>
      </c>
      <c r="L364">
        <v>93.37</v>
      </c>
      <c r="M364">
        <f t="shared" si="15"/>
        <v>217.584</v>
      </c>
      <c r="N364">
        <f t="shared" si="16"/>
        <v>124.214</v>
      </c>
      <c r="O364" t="str">
        <f t="shared" si="17"/>
        <v>West</v>
      </c>
    </row>
    <row r="365" spans="1:15" x14ac:dyDescent="0.3">
      <c r="A365" t="s">
        <v>425</v>
      </c>
      <c r="B365" s="1">
        <v>45717</v>
      </c>
      <c r="C365" t="s">
        <v>79</v>
      </c>
      <c r="D365" t="s">
        <v>20</v>
      </c>
      <c r="E365" t="s">
        <v>15</v>
      </c>
      <c r="F365" t="s">
        <v>28</v>
      </c>
      <c r="G365" t="s">
        <v>65</v>
      </c>
      <c r="H365">
        <v>5</v>
      </c>
      <c r="I365">
        <v>701.74</v>
      </c>
      <c r="J365">
        <v>0</v>
      </c>
      <c r="K365" t="s">
        <v>18</v>
      </c>
      <c r="L365">
        <v>475.68</v>
      </c>
      <c r="M365">
        <f t="shared" si="15"/>
        <v>3508.7</v>
      </c>
      <c r="N365">
        <f t="shared" si="16"/>
        <v>3033.02</v>
      </c>
      <c r="O365" t="str">
        <f t="shared" si="17"/>
        <v>West</v>
      </c>
    </row>
    <row r="366" spans="1:15" x14ac:dyDescent="0.3">
      <c r="A366" t="s">
        <v>426</v>
      </c>
      <c r="B366" s="1">
        <v>45853</v>
      </c>
      <c r="C366" t="s">
        <v>32</v>
      </c>
      <c r="D366" t="s">
        <v>43</v>
      </c>
      <c r="E366" t="s">
        <v>15</v>
      </c>
      <c r="F366" t="s">
        <v>21</v>
      </c>
      <c r="G366" t="s">
        <v>65</v>
      </c>
      <c r="H366">
        <v>9</v>
      </c>
      <c r="I366">
        <v>172.78</v>
      </c>
      <c r="J366">
        <v>0.15</v>
      </c>
      <c r="K366" t="s">
        <v>53</v>
      </c>
      <c r="L366">
        <v>103.65</v>
      </c>
      <c r="M366">
        <f t="shared" si="15"/>
        <v>1321.7670000000001</v>
      </c>
      <c r="N366">
        <f t="shared" si="16"/>
        <v>1218.117</v>
      </c>
      <c r="O366" t="str">
        <f t="shared" si="17"/>
        <v>South</v>
      </c>
    </row>
    <row r="367" spans="1:15" x14ac:dyDescent="0.3">
      <c r="A367" t="s">
        <v>427</v>
      </c>
      <c r="B367" s="1">
        <v>45946</v>
      </c>
      <c r="C367" t="s">
        <v>125</v>
      </c>
      <c r="D367" t="s">
        <v>43</v>
      </c>
      <c r="E367" t="s">
        <v>15</v>
      </c>
      <c r="F367" t="s">
        <v>21</v>
      </c>
      <c r="G367" t="s">
        <v>22</v>
      </c>
      <c r="H367">
        <v>5</v>
      </c>
      <c r="I367">
        <v>259.94</v>
      </c>
      <c r="J367">
        <v>0.05</v>
      </c>
      <c r="K367" t="s">
        <v>53</v>
      </c>
      <c r="L367">
        <v>201.72</v>
      </c>
      <c r="M367">
        <f t="shared" si="15"/>
        <v>1234.7149999999999</v>
      </c>
      <c r="N367">
        <f t="shared" si="16"/>
        <v>1032.9949999999999</v>
      </c>
      <c r="O367" t="str">
        <f t="shared" si="17"/>
        <v>South</v>
      </c>
    </row>
    <row r="368" spans="1:15" x14ac:dyDescent="0.3">
      <c r="A368" t="s">
        <v>428</v>
      </c>
      <c r="B368" s="1">
        <v>45959</v>
      </c>
      <c r="C368" t="s">
        <v>69</v>
      </c>
      <c r="D368" t="s">
        <v>14</v>
      </c>
      <c r="E368" t="s">
        <v>15</v>
      </c>
      <c r="F368" t="s">
        <v>16</v>
      </c>
      <c r="G368" t="s">
        <v>65</v>
      </c>
      <c r="H368">
        <v>9</v>
      </c>
      <c r="I368">
        <v>567.26</v>
      </c>
      <c r="J368">
        <v>0.15</v>
      </c>
      <c r="K368" t="s">
        <v>23</v>
      </c>
      <c r="L368">
        <v>460.67</v>
      </c>
      <c r="M368">
        <f t="shared" si="15"/>
        <v>4339.5389999999998</v>
      </c>
      <c r="N368">
        <f t="shared" si="16"/>
        <v>3878.8689999999997</v>
      </c>
      <c r="O368" t="str">
        <f t="shared" si="17"/>
        <v>North</v>
      </c>
    </row>
    <row r="369" spans="1:15" x14ac:dyDescent="0.3">
      <c r="A369" t="s">
        <v>429</v>
      </c>
      <c r="B369" s="1">
        <v>45901</v>
      </c>
      <c r="C369" t="s">
        <v>79</v>
      </c>
      <c r="D369" t="s">
        <v>26</v>
      </c>
      <c r="E369" t="s">
        <v>27</v>
      </c>
      <c r="F369" t="s">
        <v>16</v>
      </c>
      <c r="G369" t="s">
        <v>65</v>
      </c>
      <c r="H369">
        <v>8</v>
      </c>
      <c r="I369">
        <v>293.13</v>
      </c>
      <c r="J369">
        <v>0.2</v>
      </c>
      <c r="K369" t="s">
        <v>53</v>
      </c>
      <c r="L369">
        <v>231</v>
      </c>
      <c r="M369">
        <f t="shared" si="15"/>
        <v>1876.0320000000002</v>
      </c>
      <c r="N369">
        <f t="shared" si="16"/>
        <v>1645.0320000000002</v>
      </c>
      <c r="O369" t="str">
        <f t="shared" si="17"/>
        <v>North</v>
      </c>
    </row>
    <row r="370" spans="1:15" x14ac:dyDescent="0.3">
      <c r="A370" t="s">
        <v>430</v>
      </c>
      <c r="B370" s="1">
        <v>45975</v>
      </c>
      <c r="C370" t="s">
        <v>92</v>
      </c>
      <c r="D370" t="s">
        <v>46</v>
      </c>
      <c r="E370" t="s">
        <v>15</v>
      </c>
      <c r="F370" t="s">
        <v>16</v>
      </c>
      <c r="G370" t="s">
        <v>65</v>
      </c>
      <c r="H370">
        <v>9</v>
      </c>
      <c r="I370">
        <v>371.37</v>
      </c>
      <c r="J370">
        <v>0.2</v>
      </c>
      <c r="K370" t="s">
        <v>44</v>
      </c>
      <c r="L370">
        <v>272.19</v>
      </c>
      <c r="M370">
        <f t="shared" si="15"/>
        <v>2673.864</v>
      </c>
      <c r="N370">
        <f t="shared" si="16"/>
        <v>2401.674</v>
      </c>
      <c r="O370" t="str">
        <f t="shared" si="17"/>
        <v>North</v>
      </c>
    </row>
    <row r="371" spans="1:15" x14ac:dyDescent="0.3">
      <c r="A371" t="s">
        <v>431</v>
      </c>
      <c r="B371" s="1">
        <v>45698</v>
      </c>
      <c r="C371" t="s">
        <v>100</v>
      </c>
      <c r="D371" t="s">
        <v>33</v>
      </c>
      <c r="E371" t="s">
        <v>34</v>
      </c>
      <c r="F371" t="s">
        <v>21</v>
      </c>
      <c r="G371" t="s">
        <v>22</v>
      </c>
      <c r="H371">
        <v>4</v>
      </c>
      <c r="I371">
        <v>176.1</v>
      </c>
      <c r="J371">
        <v>0.05</v>
      </c>
      <c r="K371" t="s">
        <v>44</v>
      </c>
      <c r="L371">
        <v>98.88</v>
      </c>
      <c r="M371">
        <f t="shared" si="15"/>
        <v>669.18</v>
      </c>
      <c r="N371">
        <f t="shared" si="16"/>
        <v>570.29999999999995</v>
      </c>
      <c r="O371" t="str">
        <f t="shared" si="17"/>
        <v>South</v>
      </c>
    </row>
    <row r="372" spans="1:15" x14ac:dyDescent="0.3">
      <c r="A372" t="s">
        <v>432</v>
      </c>
      <c r="B372" s="1">
        <v>45861</v>
      </c>
      <c r="C372" t="s">
        <v>13</v>
      </c>
      <c r="D372" t="s">
        <v>64</v>
      </c>
      <c r="E372" t="s">
        <v>34</v>
      </c>
      <c r="F372" t="s">
        <v>35</v>
      </c>
      <c r="G372" t="s">
        <v>29</v>
      </c>
      <c r="H372">
        <v>2</v>
      </c>
      <c r="I372">
        <v>64.66</v>
      </c>
      <c r="J372">
        <v>0</v>
      </c>
      <c r="K372" t="s">
        <v>23</v>
      </c>
      <c r="L372">
        <v>42.34</v>
      </c>
      <c r="M372">
        <f t="shared" si="15"/>
        <v>129.32</v>
      </c>
      <c r="N372">
        <f t="shared" si="16"/>
        <v>86.97999999999999</v>
      </c>
      <c r="O372" t="str">
        <f t="shared" si="17"/>
        <v>East</v>
      </c>
    </row>
    <row r="373" spans="1:15" x14ac:dyDescent="0.3">
      <c r="A373" t="s">
        <v>433</v>
      </c>
      <c r="B373" s="1">
        <v>45872</v>
      </c>
      <c r="C373" t="s">
        <v>76</v>
      </c>
      <c r="D373" t="s">
        <v>61</v>
      </c>
      <c r="E373" t="s">
        <v>34</v>
      </c>
      <c r="F373" t="s">
        <v>28</v>
      </c>
      <c r="G373" t="s">
        <v>49</v>
      </c>
      <c r="H373">
        <v>1</v>
      </c>
      <c r="I373">
        <v>112.54</v>
      </c>
      <c r="J373">
        <v>0.2</v>
      </c>
      <c r="K373" t="s">
        <v>44</v>
      </c>
      <c r="L373">
        <v>79.75</v>
      </c>
      <c r="M373">
        <f t="shared" si="15"/>
        <v>90.032000000000011</v>
      </c>
      <c r="N373">
        <f t="shared" si="16"/>
        <v>10.282000000000011</v>
      </c>
      <c r="O373" t="str">
        <f t="shared" si="17"/>
        <v>West</v>
      </c>
    </row>
    <row r="374" spans="1:15" x14ac:dyDescent="0.3">
      <c r="A374" t="s">
        <v>434</v>
      </c>
      <c r="B374" s="1">
        <v>45709</v>
      </c>
      <c r="C374" t="s">
        <v>79</v>
      </c>
      <c r="D374" t="s">
        <v>64</v>
      </c>
      <c r="E374" t="s">
        <v>34</v>
      </c>
      <c r="F374" t="s">
        <v>35</v>
      </c>
      <c r="G374" t="s">
        <v>65</v>
      </c>
      <c r="H374">
        <v>2</v>
      </c>
      <c r="I374">
        <v>102.61</v>
      </c>
      <c r="J374">
        <v>0</v>
      </c>
      <c r="K374" t="s">
        <v>30</v>
      </c>
      <c r="L374">
        <v>72.02</v>
      </c>
      <c r="M374">
        <f t="shared" si="15"/>
        <v>205.22</v>
      </c>
      <c r="N374">
        <f t="shared" si="16"/>
        <v>133.19999999999999</v>
      </c>
      <c r="O374" t="str">
        <f t="shared" si="17"/>
        <v>East</v>
      </c>
    </row>
    <row r="375" spans="1:15" x14ac:dyDescent="0.3">
      <c r="A375" t="s">
        <v>435</v>
      </c>
      <c r="B375" s="1">
        <v>45746</v>
      </c>
      <c r="C375" t="s">
        <v>42</v>
      </c>
      <c r="D375" t="s">
        <v>26</v>
      </c>
      <c r="E375" t="s">
        <v>27</v>
      </c>
      <c r="F375" t="s">
        <v>28</v>
      </c>
      <c r="G375" t="s">
        <v>49</v>
      </c>
      <c r="H375">
        <v>10</v>
      </c>
      <c r="I375">
        <v>230.96</v>
      </c>
      <c r="J375">
        <v>0.2</v>
      </c>
      <c r="K375" t="s">
        <v>23</v>
      </c>
      <c r="L375">
        <v>156.53</v>
      </c>
      <c r="M375">
        <f t="shared" si="15"/>
        <v>1847.68</v>
      </c>
      <c r="N375">
        <f t="shared" si="16"/>
        <v>1691.15</v>
      </c>
      <c r="O375" t="str">
        <f t="shared" si="17"/>
        <v>West</v>
      </c>
    </row>
    <row r="376" spans="1:15" x14ac:dyDescent="0.3">
      <c r="A376" t="s">
        <v>436</v>
      </c>
      <c r="B376" s="1">
        <v>45827</v>
      </c>
      <c r="C376" t="s">
        <v>69</v>
      </c>
      <c r="D376" t="s">
        <v>64</v>
      </c>
      <c r="E376" t="s">
        <v>34</v>
      </c>
      <c r="F376" t="s">
        <v>16</v>
      </c>
      <c r="G376" t="s">
        <v>22</v>
      </c>
      <c r="H376">
        <v>7</v>
      </c>
      <c r="I376">
        <v>113.29</v>
      </c>
      <c r="J376">
        <v>0</v>
      </c>
      <c r="K376" t="s">
        <v>18</v>
      </c>
      <c r="L376">
        <v>74.42</v>
      </c>
      <c r="M376">
        <f t="shared" si="15"/>
        <v>793.03000000000009</v>
      </c>
      <c r="N376">
        <f t="shared" si="16"/>
        <v>718.61000000000013</v>
      </c>
      <c r="O376" t="str">
        <f t="shared" si="17"/>
        <v>North</v>
      </c>
    </row>
    <row r="377" spans="1:15" x14ac:dyDescent="0.3">
      <c r="A377" t="s">
        <v>437</v>
      </c>
      <c r="B377" s="1">
        <v>45813</v>
      </c>
      <c r="C377" t="s">
        <v>79</v>
      </c>
      <c r="D377" t="s">
        <v>43</v>
      </c>
      <c r="E377" t="s">
        <v>15</v>
      </c>
      <c r="F377" t="s">
        <v>35</v>
      </c>
      <c r="G377" t="s">
        <v>65</v>
      </c>
      <c r="H377">
        <v>1</v>
      </c>
      <c r="I377">
        <v>374.26</v>
      </c>
      <c r="J377">
        <v>0.1</v>
      </c>
      <c r="K377" t="s">
        <v>53</v>
      </c>
      <c r="L377">
        <v>288.44</v>
      </c>
      <c r="M377">
        <f t="shared" si="15"/>
        <v>336.834</v>
      </c>
      <c r="N377">
        <f t="shared" si="16"/>
        <v>48.394000000000005</v>
      </c>
      <c r="O377" t="str">
        <f t="shared" si="17"/>
        <v>East</v>
      </c>
    </row>
    <row r="378" spans="1:15" x14ac:dyDescent="0.3">
      <c r="A378" t="s">
        <v>438</v>
      </c>
      <c r="B378" s="1">
        <v>45871</v>
      </c>
      <c r="C378" t="s">
        <v>104</v>
      </c>
      <c r="D378" t="s">
        <v>70</v>
      </c>
      <c r="E378" t="s">
        <v>34</v>
      </c>
      <c r="F378" t="s">
        <v>16</v>
      </c>
      <c r="G378" t="s">
        <v>49</v>
      </c>
      <c r="H378">
        <v>8</v>
      </c>
      <c r="I378">
        <v>35.08</v>
      </c>
      <c r="J378">
        <v>0.1</v>
      </c>
      <c r="K378" t="s">
        <v>18</v>
      </c>
      <c r="L378">
        <v>21.85</v>
      </c>
      <c r="M378">
        <f t="shared" si="15"/>
        <v>252.57599999999999</v>
      </c>
      <c r="N378">
        <f t="shared" si="16"/>
        <v>230.726</v>
      </c>
      <c r="O378" t="str">
        <f t="shared" si="17"/>
        <v>North</v>
      </c>
    </row>
    <row r="379" spans="1:15" x14ac:dyDescent="0.3">
      <c r="A379" t="s">
        <v>439</v>
      </c>
      <c r="B379" s="1">
        <v>45849</v>
      </c>
      <c r="C379" t="s">
        <v>125</v>
      </c>
      <c r="D379" t="s">
        <v>70</v>
      </c>
      <c r="E379" t="s">
        <v>34</v>
      </c>
      <c r="F379" t="s">
        <v>21</v>
      </c>
      <c r="G379" t="s">
        <v>40</v>
      </c>
      <c r="H379">
        <v>7</v>
      </c>
      <c r="I379">
        <v>93.51</v>
      </c>
      <c r="J379">
        <v>0.15</v>
      </c>
      <c r="K379" t="s">
        <v>30</v>
      </c>
      <c r="L379">
        <v>70.61</v>
      </c>
      <c r="M379">
        <f t="shared" si="15"/>
        <v>556.3845</v>
      </c>
      <c r="N379">
        <f t="shared" si="16"/>
        <v>485.77449999999999</v>
      </c>
      <c r="O379" t="str">
        <f t="shared" si="17"/>
        <v>South</v>
      </c>
    </row>
    <row r="380" spans="1:15" x14ac:dyDescent="0.3">
      <c r="A380" t="s">
        <v>440</v>
      </c>
      <c r="B380" s="1">
        <v>45756</v>
      </c>
      <c r="C380" t="s">
        <v>48</v>
      </c>
      <c r="D380" t="s">
        <v>46</v>
      </c>
      <c r="E380" t="s">
        <v>15</v>
      </c>
      <c r="F380" t="s">
        <v>16</v>
      </c>
      <c r="G380" t="s">
        <v>49</v>
      </c>
      <c r="H380">
        <v>9</v>
      </c>
      <c r="I380">
        <v>321.02</v>
      </c>
      <c r="J380">
        <v>0.2</v>
      </c>
      <c r="K380" t="s">
        <v>53</v>
      </c>
      <c r="L380">
        <v>179.07</v>
      </c>
      <c r="M380">
        <f t="shared" si="15"/>
        <v>2311.3440000000001</v>
      </c>
      <c r="N380">
        <f t="shared" si="16"/>
        <v>2132.2739999999999</v>
      </c>
      <c r="O380" t="str">
        <f t="shared" si="17"/>
        <v>North</v>
      </c>
    </row>
    <row r="381" spans="1:15" x14ac:dyDescent="0.3">
      <c r="A381" t="s">
        <v>441</v>
      </c>
      <c r="B381" s="1">
        <v>45895</v>
      </c>
      <c r="C381" t="s">
        <v>52</v>
      </c>
      <c r="D381" t="s">
        <v>61</v>
      </c>
      <c r="E381" t="s">
        <v>34</v>
      </c>
      <c r="F381" t="s">
        <v>28</v>
      </c>
      <c r="G381" t="s">
        <v>22</v>
      </c>
      <c r="H381">
        <v>6</v>
      </c>
      <c r="I381">
        <v>34.549999999999997</v>
      </c>
      <c r="J381">
        <v>0.05</v>
      </c>
      <c r="K381" t="s">
        <v>53</v>
      </c>
      <c r="L381">
        <v>21.56</v>
      </c>
      <c r="M381">
        <f t="shared" si="15"/>
        <v>196.93499999999997</v>
      </c>
      <c r="N381">
        <f t="shared" si="16"/>
        <v>175.37499999999997</v>
      </c>
      <c r="O381" t="str">
        <f t="shared" si="17"/>
        <v>West</v>
      </c>
    </row>
    <row r="382" spans="1:15" x14ac:dyDescent="0.3">
      <c r="A382" t="s">
        <v>442</v>
      </c>
      <c r="B382" s="1">
        <v>45900</v>
      </c>
      <c r="C382" t="s">
        <v>60</v>
      </c>
      <c r="D382" t="s">
        <v>20</v>
      </c>
      <c r="E382" t="s">
        <v>15</v>
      </c>
      <c r="F382" t="s">
        <v>35</v>
      </c>
      <c r="G382" t="s">
        <v>29</v>
      </c>
      <c r="H382">
        <v>8</v>
      </c>
      <c r="I382">
        <v>710.48</v>
      </c>
      <c r="J382">
        <v>0.2</v>
      </c>
      <c r="K382" t="s">
        <v>44</v>
      </c>
      <c r="L382">
        <v>476.34</v>
      </c>
      <c r="M382">
        <f t="shared" si="15"/>
        <v>4547.0720000000001</v>
      </c>
      <c r="N382">
        <f t="shared" si="16"/>
        <v>4070.732</v>
      </c>
      <c r="O382" t="str">
        <f t="shared" si="17"/>
        <v>East</v>
      </c>
    </row>
    <row r="383" spans="1:15" x14ac:dyDescent="0.3">
      <c r="A383" t="s">
        <v>443</v>
      </c>
      <c r="B383" s="1">
        <v>45683</v>
      </c>
      <c r="C383" t="s">
        <v>25</v>
      </c>
      <c r="D383" t="s">
        <v>43</v>
      </c>
      <c r="E383" t="s">
        <v>15</v>
      </c>
      <c r="F383" t="s">
        <v>21</v>
      </c>
      <c r="G383" t="s">
        <v>49</v>
      </c>
      <c r="H383">
        <v>2</v>
      </c>
      <c r="I383">
        <v>337.24</v>
      </c>
      <c r="J383">
        <v>0.1</v>
      </c>
      <c r="K383" t="s">
        <v>44</v>
      </c>
      <c r="L383">
        <v>187.98</v>
      </c>
      <c r="M383">
        <f t="shared" si="15"/>
        <v>607.03200000000004</v>
      </c>
      <c r="N383">
        <f t="shared" si="16"/>
        <v>419.05200000000002</v>
      </c>
      <c r="O383" t="str">
        <f t="shared" si="17"/>
        <v>South</v>
      </c>
    </row>
    <row r="384" spans="1:15" x14ac:dyDescent="0.3">
      <c r="A384" t="s">
        <v>444</v>
      </c>
      <c r="B384" s="1">
        <v>46007</v>
      </c>
      <c r="C384" t="s">
        <v>85</v>
      </c>
      <c r="D384" t="s">
        <v>70</v>
      </c>
      <c r="E384" t="s">
        <v>34</v>
      </c>
      <c r="F384" t="s">
        <v>28</v>
      </c>
      <c r="G384" t="s">
        <v>49</v>
      </c>
      <c r="H384">
        <v>7</v>
      </c>
      <c r="I384">
        <v>45.18</v>
      </c>
      <c r="J384">
        <v>0.2</v>
      </c>
      <c r="K384" t="s">
        <v>44</v>
      </c>
      <c r="L384">
        <v>25.09</v>
      </c>
      <c r="M384">
        <f t="shared" si="15"/>
        <v>253.00800000000001</v>
      </c>
      <c r="N384">
        <f t="shared" si="16"/>
        <v>227.91800000000001</v>
      </c>
      <c r="O384" t="str">
        <f t="shared" si="17"/>
        <v>West</v>
      </c>
    </row>
    <row r="385" spans="1:15" x14ac:dyDescent="0.3">
      <c r="A385" t="s">
        <v>445</v>
      </c>
      <c r="B385" s="1">
        <v>45814</v>
      </c>
      <c r="C385" t="s">
        <v>42</v>
      </c>
      <c r="D385" t="s">
        <v>64</v>
      </c>
      <c r="E385" t="s">
        <v>34</v>
      </c>
      <c r="F385" t="s">
        <v>28</v>
      </c>
      <c r="G385" t="s">
        <v>65</v>
      </c>
      <c r="H385">
        <v>4</v>
      </c>
      <c r="I385">
        <v>127.1</v>
      </c>
      <c r="J385">
        <v>0.1</v>
      </c>
      <c r="K385" t="s">
        <v>30</v>
      </c>
      <c r="L385">
        <v>90.78</v>
      </c>
      <c r="M385">
        <f t="shared" si="15"/>
        <v>457.56</v>
      </c>
      <c r="N385">
        <f t="shared" si="16"/>
        <v>366.78</v>
      </c>
      <c r="O385" t="str">
        <f t="shared" si="17"/>
        <v>West</v>
      </c>
    </row>
    <row r="386" spans="1:15" x14ac:dyDescent="0.3">
      <c r="A386" t="s">
        <v>446</v>
      </c>
      <c r="B386" s="1">
        <v>45977</v>
      </c>
      <c r="C386" t="s">
        <v>55</v>
      </c>
      <c r="D386" t="s">
        <v>61</v>
      </c>
      <c r="E386" t="s">
        <v>34</v>
      </c>
      <c r="F386" t="s">
        <v>16</v>
      </c>
      <c r="G386" t="s">
        <v>40</v>
      </c>
      <c r="H386">
        <v>8</v>
      </c>
      <c r="I386">
        <v>52.68</v>
      </c>
      <c r="J386">
        <v>0.1</v>
      </c>
      <c r="K386" t="s">
        <v>23</v>
      </c>
      <c r="L386">
        <v>38.61</v>
      </c>
      <c r="M386">
        <f t="shared" ref="M386:M449" si="18">H386*I386*(1-J386)</f>
        <v>379.29599999999999</v>
      </c>
      <c r="N386">
        <f t="shared" ref="N386:N449" si="19">M386-L386</f>
        <v>340.68599999999998</v>
      </c>
      <c r="O386" t="str">
        <f t="shared" ref="O386:O449" si="20">TRIM(CLEAN(SUBSTITUTE(F386,CHAR(160)," ")))</f>
        <v>North</v>
      </c>
    </row>
    <row r="387" spans="1:15" x14ac:dyDescent="0.3">
      <c r="A387" t="s">
        <v>447</v>
      </c>
      <c r="B387" s="1">
        <v>46008</v>
      </c>
      <c r="C387" t="s">
        <v>76</v>
      </c>
      <c r="D387" t="s">
        <v>39</v>
      </c>
      <c r="E387" t="s">
        <v>27</v>
      </c>
      <c r="F387" t="s">
        <v>28</v>
      </c>
      <c r="G387" t="s">
        <v>40</v>
      </c>
      <c r="H387">
        <v>10</v>
      </c>
      <c r="I387">
        <v>249.14</v>
      </c>
      <c r="J387">
        <v>0.2</v>
      </c>
      <c r="K387" t="s">
        <v>30</v>
      </c>
      <c r="L387">
        <v>156.04</v>
      </c>
      <c r="M387">
        <f t="shared" si="18"/>
        <v>1993.12</v>
      </c>
      <c r="N387">
        <f t="shared" si="19"/>
        <v>1837.08</v>
      </c>
      <c r="O387" t="str">
        <f t="shared" si="20"/>
        <v>West</v>
      </c>
    </row>
    <row r="388" spans="1:15" x14ac:dyDescent="0.3">
      <c r="A388" t="s">
        <v>448</v>
      </c>
      <c r="B388" s="1">
        <v>45991</v>
      </c>
      <c r="C388" t="s">
        <v>79</v>
      </c>
      <c r="D388" t="s">
        <v>43</v>
      </c>
      <c r="E388" t="s">
        <v>15</v>
      </c>
      <c r="F388" t="s">
        <v>21</v>
      </c>
      <c r="G388" t="s">
        <v>49</v>
      </c>
      <c r="H388">
        <v>5</v>
      </c>
      <c r="I388">
        <v>310.14999999999998</v>
      </c>
      <c r="J388">
        <v>0.1</v>
      </c>
      <c r="K388" t="s">
        <v>23</v>
      </c>
      <c r="L388">
        <v>225.53</v>
      </c>
      <c r="M388">
        <f t="shared" si="18"/>
        <v>1395.675</v>
      </c>
      <c r="N388">
        <f t="shared" si="19"/>
        <v>1170.145</v>
      </c>
      <c r="O388" t="str">
        <f t="shared" si="20"/>
        <v>South</v>
      </c>
    </row>
    <row r="389" spans="1:15" x14ac:dyDescent="0.3">
      <c r="A389" t="s">
        <v>449</v>
      </c>
      <c r="B389" s="1">
        <v>46006</v>
      </c>
      <c r="C389" t="s">
        <v>92</v>
      </c>
      <c r="D389" t="s">
        <v>70</v>
      </c>
      <c r="E389" t="s">
        <v>34</v>
      </c>
      <c r="F389" t="s">
        <v>16</v>
      </c>
      <c r="G389" t="s">
        <v>22</v>
      </c>
      <c r="H389">
        <v>10</v>
      </c>
      <c r="I389">
        <v>92.48</v>
      </c>
      <c r="J389">
        <v>0.15</v>
      </c>
      <c r="K389" t="s">
        <v>18</v>
      </c>
      <c r="L389">
        <v>67.36</v>
      </c>
      <c r="M389">
        <f t="shared" si="18"/>
        <v>786.08</v>
      </c>
      <c r="N389">
        <f t="shared" si="19"/>
        <v>718.72</v>
      </c>
      <c r="O389" t="str">
        <f t="shared" si="20"/>
        <v>North</v>
      </c>
    </row>
    <row r="390" spans="1:15" x14ac:dyDescent="0.3">
      <c r="A390" t="s">
        <v>450</v>
      </c>
      <c r="B390" s="1">
        <v>45676</v>
      </c>
      <c r="C390" t="s">
        <v>60</v>
      </c>
      <c r="D390" t="s">
        <v>43</v>
      </c>
      <c r="E390" t="s">
        <v>15</v>
      </c>
      <c r="F390" t="s">
        <v>21</v>
      </c>
      <c r="G390" t="s">
        <v>29</v>
      </c>
      <c r="H390">
        <v>7</v>
      </c>
      <c r="I390">
        <v>214.86</v>
      </c>
      <c r="J390">
        <v>0.15</v>
      </c>
      <c r="K390" t="s">
        <v>44</v>
      </c>
      <c r="L390">
        <v>140.69999999999999</v>
      </c>
      <c r="M390">
        <f t="shared" si="18"/>
        <v>1278.4169999999999</v>
      </c>
      <c r="N390">
        <f t="shared" si="19"/>
        <v>1137.7169999999999</v>
      </c>
      <c r="O390" t="str">
        <f t="shared" si="20"/>
        <v>South</v>
      </c>
    </row>
    <row r="391" spans="1:15" x14ac:dyDescent="0.3">
      <c r="A391" t="s">
        <v>451</v>
      </c>
      <c r="B391" s="1">
        <v>45745</v>
      </c>
      <c r="C391" t="s">
        <v>13</v>
      </c>
      <c r="D391" t="s">
        <v>46</v>
      </c>
      <c r="E391" t="s">
        <v>15</v>
      </c>
      <c r="F391" t="s">
        <v>21</v>
      </c>
      <c r="G391" t="s">
        <v>29</v>
      </c>
      <c r="H391">
        <v>8</v>
      </c>
      <c r="I391">
        <v>391.49</v>
      </c>
      <c r="J391">
        <v>0.1</v>
      </c>
      <c r="K391" t="s">
        <v>53</v>
      </c>
      <c r="L391">
        <v>268.94</v>
      </c>
      <c r="M391">
        <f t="shared" si="18"/>
        <v>2818.7280000000001</v>
      </c>
      <c r="N391">
        <f t="shared" si="19"/>
        <v>2549.788</v>
      </c>
      <c r="O391" t="str">
        <f t="shared" si="20"/>
        <v>South</v>
      </c>
    </row>
    <row r="392" spans="1:15" x14ac:dyDescent="0.3">
      <c r="A392" t="s">
        <v>452</v>
      </c>
      <c r="B392" s="1">
        <v>45751</v>
      </c>
      <c r="C392" t="s">
        <v>67</v>
      </c>
      <c r="D392" t="s">
        <v>61</v>
      </c>
      <c r="E392" t="s">
        <v>34</v>
      </c>
      <c r="F392" t="s">
        <v>16</v>
      </c>
      <c r="G392" t="s">
        <v>49</v>
      </c>
      <c r="H392">
        <v>5</v>
      </c>
      <c r="I392">
        <v>41.51</v>
      </c>
      <c r="J392">
        <v>0.2</v>
      </c>
      <c r="K392" t="s">
        <v>30</v>
      </c>
      <c r="L392">
        <v>31.38</v>
      </c>
      <c r="M392">
        <f t="shared" si="18"/>
        <v>166.04</v>
      </c>
      <c r="N392">
        <f t="shared" si="19"/>
        <v>134.66</v>
      </c>
      <c r="O392" t="str">
        <f t="shared" si="20"/>
        <v>North</v>
      </c>
    </row>
    <row r="393" spans="1:15" x14ac:dyDescent="0.3">
      <c r="A393" t="s">
        <v>453</v>
      </c>
      <c r="B393" s="1">
        <v>45827</v>
      </c>
      <c r="C393" t="s">
        <v>32</v>
      </c>
      <c r="D393" t="s">
        <v>70</v>
      </c>
      <c r="E393" t="s">
        <v>34</v>
      </c>
      <c r="F393" t="s">
        <v>35</v>
      </c>
      <c r="G393" t="s">
        <v>17</v>
      </c>
      <c r="H393">
        <v>5</v>
      </c>
      <c r="I393">
        <v>80.819999999999993</v>
      </c>
      <c r="J393">
        <v>0.15</v>
      </c>
      <c r="K393" t="s">
        <v>30</v>
      </c>
      <c r="L393">
        <v>61.65</v>
      </c>
      <c r="M393">
        <f t="shared" si="18"/>
        <v>343.48499999999996</v>
      </c>
      <c r="N393">
        <f t="shared" si="19"/>
        <v>281.83499999999998</v>
      </c>
      <c r="O393" t="str">
        <f t="shared" si="20"/>
        <v>East</v>
      </c>
    </row>
    <row r="394" spans="1:15" x14ac:dyDescent="0.3">
      <c r="A394" t="s">
        <v>454</v>
      </c>
      <c r="B394" s="1">
        <v>45956</v>
      </c>
      <c r="C394" t="s">
        <v>60</v>
      </c>
      <c r="D394" t="s">
        <v>61</v>
      </c>
      <c r="E394" t="s">
        <v>34</v>
      </c>
      <c r="F394" t="s">
        <v>16</v>
      </c>
      <c r="G394" t="s">
        <v>65</v>
      </c>
      <c r="H394">
        <v>8</v>
      </c>
      <c r="I394">
        <v>106.61</v>
      </c>
      <c r="J394">
        <v>0</v>
      </c>
      <c r="K394" t="s">
        <v>44</v>
      </c>
      <c r="L394">
        <v>83.57</v>
      </c>
      <c r="M394">
        <f t="shared" si="18"/>
        <v>852.88</v>
      </c>
      <c r="N394">
        <f t="shared" si="19"/>
        <v>769.31</v>
      </c>
      <c r="O394" t="str">
        <f t="shared" si="20"/>
        <v>North</v>
      </c>
    </row>
    <row r="395" spans="1:15" x14ac:dyDescent="0.3">
      <c r="A395" t="s">
        <v>455</v>
      </c>
      <c r="B395" s="1">
        <v>45685</v>
      </c>
      <c r="C395" t="s">
        <v>92</v>
      </c>
      <c r="D395" t="s">
        <v>46</v>
      </c>
      <c r="E395" t="s">
        <v>15</v>
      </c>
      <c r="F395" t="s">
        <v>21</v>
      </c>
      <c r="G395" t="s">
        <v>49</v>
      </c>
      <c r="H395">
        <v>7</v>
      </c>
      <c r="I395">
        <v>235.94</v>
      </c>
      <c r="J395">
        <v>0.2</v>
      </c>
      <c r="K395" t="s">
        <v>30</v>
      </c>
      <c r="L395">
        <v>148.77000000000001</v>
      </c>
      <c r="M395">
        <f t="shared" si="18"/>
        <v>1321.2640000000001</v>
      </c>
      <c r="N395">
        <f t="shared" si="19"/>
        <v>1172.4940000000001</v>
      </c>
      <c r="O395" t="str">
        <f t="shared" si="20"/>
        <v>South</v>
      </c>
    </row>
    <row r="396" spans="1:15" x14ac:dyDescent="0.3">
      <c r="A396" t="s">
        <v>456</v>
      </c>
      <c r="B396" s="1">
        <v>45750</v>
      </c>
      <c r="C396" t="s">
        <v>37</v>
      </c>
      <c r="D396" t="s">
        <v>26</v>
      </c>
      <c r="E396" t="s">
        <v>27</v>
      </c>
      <c r="F396" t="s">
        <v>28</v>
      </c>
      <c r="G396" t="s">
        <v>29</v>
      </c>
      <c r="H396">
        <v>8</v>
      </c>
      <c r="I396">
        <v>297.44</v>
      </c>
      <c r="J396">
        <v>0.05</v>
      </c>
      <c r="K396" t="s">
        <v>44</v>
      </c>
      <c r="L396">
        <v>189</v>
      </c>
      <c r="M396">
        <f t="shared" si="18"/>
        <v>2260.5439999999999</v>
      </c>
      <c r="N396">
        <f t="shared" si="19"/>
        <v>2071.5439999999999</v>
      </c>
      <c r="O396" t="str">
        <f t="shared" si="20"/>
        <v>West</v>
      </c>
    </row>
    <row r="397" spans="1:15" x14ac:dyDescent="0.3">
      <c r="A397" t="s">
        <v>457</v>
      </c>
      <c r="B397" s="1">
        <v>45744</v>
      </c>
      <c r="C397" t="s">
        <v>60</v>
      </c>
      <c r="D397" t="s">
        <v>39</v>
      </c>
      <c r="E397" t="s">
        <v>27</v>
      </c>
      <c r="F397" t="s">
        <v>21</v>
      </c>
      <c r="G397" t="s">
        <v>65</v>
      </c>
      <c r="H397">
        <v>1</v>
      </c>
      <c r="I397">
        <v>265.93</v>
      </c>
      <c r="J397">
        <v>0.15</v>
      </c>
      <c r="K397" t="s">
        <v>53</v>
      </c>
      <c r="L397">
        <v>165.9</v>
      </c>
      <c r="M397">
        <f t="shared" si="18"/>
        <v>226.04050000000001</v>
      </c>
      <c r="N397">
        <f t="shared" si="19"/>
        <v>60.140500000000003</v>
      </c>
      <c r="O397" t="str">
        <f t="shared" si="20"/>
        <v>South</v>
      </c>
    </row>
    <row r="398" spans="1:15" x14ac:dyDescent="0.3">
      <c r="A398" t="s">
        <v>458</v>
      </c>
      <c r="B398" s="1">
        <v>45902</v>
      </c>
      <c r="C398" t="s">
        <v>55</v>
      </c>
      <c r="D398" t="s">
        <v>33</v>
      </c>
      <c r="E398" t="s">
        <v>34</v>
      </c>
      <c r="F398" t="s">
        <v>16</v>
      </c>
      <c r="G398" t="s">
        <v>40</v>
      </c>
      <c r="H398">
        <v>7</v>
      </c>
      <c r="I398">
        <v>126.03</v>
      </c>
      <c r="J398">
        <v>0.15</v>
      </c>
      <c r="K398" t="s">
        <v>23</v>
      </c>
      <c r="L398">
        <v>83.92</v>
      </c>
      <c r="M398">
        <f t="shared" si="18"/>
        <v>749.87850000000003</v>
      </c>
      <c r="N398">
        <f t="shared" si="19"/>
        <v>665.95850000000007</v>
      </c>
      <c r="O398" t="str">
        <f t="shared" si="20"/>
        <v>North</v>
      </c>
    </row>
    <row r="399" spans="1:15" x14ac:dyDescent="0.3">
      <c r="A399" t="s">
        <v>459</v>
      </c>
      <c r="B399" s="1">
        <v>45929</v>
      </c>
      <c r="C399" t="s">
        <v>48</v>
      </c>
      <c r="D399" t="s">
        <v>70</v>
      </c>
      <c r="E399" t="s">
        <v>34</v>
      </c>
      <c r="F399" t="s">
        <v>16</v>
      </c>
      <c r="G399" t="s">
        <v>22</v>
      </c>
      <c r="H399">
        <v>1</v>
      </c>
      <c r="I399">
        <v>79.8</v>
      </c>
      <c r="J399">
        <v>0.1</v>
      </c>
      <c r="K399" t="s">
        <v>53</v>
      </c>
      <c r="L399">
        <v>60.2</v>
      </c>
      <c r="M399">
        <f t="shared" si="18"/>
        <v>71.819999999999993</v>
      </c>
      <c r="N399">
        <f t="shared" si="19"/>
        <v>11.61999999999999</v>
      </c>
      <c r="O399" t="str">
        <f t="shared" si="20"/>
        <v>North</v>
      </c>
    </row>
    <row r="400" spans="1:15" x14ac:dyDescent="0.3">
      <c r="A400" t="s">
        <v>460</v>
      </c>
      <c r="B400" s="1">
        <v>45854</v>
      </c>
      <c r="C400" t="s">
        <v>52</v>
      </c>
      <c r="D400" t="s">
        <v>70</v>
      </c>
      <c r="E400" t="s">
        <v>34</v>
      </c>
      <c r="F400" t="s">
        <v>35</v>
      </c>
      <c r="G400" t="s">
        <v>49</v>
      </c>
      <c r="H400">
        <v>6</v>
      </c>
      <c r="I400">
        <v>41.97</v>
      </c>
      <c r="J400">
        <v>0.1</v>
      </c>
      <c r="K400" t="s">
        <v>53</v>
      </c>
      <c r="L400">
        <v>24.54</v>
      </c>
      <c r="M400">
        <f t="shared" si="18"/>
        <v>226.63800000000001</v>
      </c>
      <c r="N400">
        <f t="shared" si="19"/>
        <v>202.09800000000001</v>
      </c>
      <c r="O400" t="str">
        <f t="shared" si="20"/>
        <v>East</v>
      </c>
    </row>
    <row r="401" spans="1:15" x14ac:dyDescent="0.3">
      <c r="A401" t="s">
        <v>461</v>
      </c>
      <c r="B401" s="1">
        <v>45963</v>
      </c>
      <c r="C401" t="s">
        <v>52</v>
      </c>
      <c r="D401" t="s">
        <v>20</v>
      </c>
      <c r="E401" t="s">
        <v>15</v>
      </c>
      <c r="F401" t="s">
        <v>35</v>
      </c>
      <c r="G401" t="s">
        <v>65</v>
      </c>
      <c r="H401">
        <v>5</v>
      </c>
      <c r="I401">
        <v>724.55</v>
      </c>
      <c r="J401">
        <v>0</v>
      </c>
      <c r="K401" t="s">
        <v>44</v>
      </c>
      <c r="L401">
        <v>540.89</v>
      </c>
      <c r="M401">
        <f t="shared" si="18"/>
        <v>3622.75</v>
      </c>
      <c r="N401">
        <f t="shared" si="19"/>
        <v>3081.86</v>
      </c>
      <c r="O401" t="str">
        <f t="shared" si="20"/>
        <v>East</v>
      </c>
    </row>
    <row r="402" spans="1:15" x14ac:dyDescent="0.3">
      <c r="A402" t="s">
        <v>462</v>
      </c>
      <c r="B402" s="1">
        <v>45742</v>
      </c>
      <c r="C402" t="s">
        <v>55</v>
      </c>
      <c r="D402" t="s">
        <v>39</v>
      </c>
      <c r="E402" t="s">
        <v>27</v>
      </c>
      <c r="F402" t="s">
        <v>16</v>
      </c>
      <c r="G402" t="s">
        <v>49</v>
      </c>
      <c r="H402">
        <v>8</v>
      </c>
      <c r="I402">
        <v>349.11</v>
      </c>
      <c r="J402">
        <v>0.1</v>
      </c>
      <c r="K402" t="s">
        <v>44</v>
      </c>
      <c r="L402">
        <v>262.72000000000003</v>
      </c>
      <c r="M402">
        <f t="shared" si="18"/>
        <v>2513.5920000000001</v>
      </c>
      <c r="N402">
        <f t="shared" si="19"/>
        <v>2250.8720000000003</v>
      </c>
      <c r="O402" t="str">
        <f t="shared" si="20"/>
        <v>North</v>
      </c>
    </row>
    <row r="403" spans="1:15" x14ac:dyDescent="0.3">
      <c r="A403" t="s">
        <v>463</v>
      </c>
      <c r="B403" s="1">
        <v>45721</v>
      </c>
      <c r="C403" t="s">
        <v>32</v>
      </c>
      <c r="D403" t="s">
        <v>33</v>
      </c>
      <c r="E403" t="s">
        <v>34</v>
      </c>
      <c r="F403" t="s">
        <v>16</v>
      </c>
      <c r="G403" t="s">
        <v>65</v>
      </c>
      <c r="H403">
        <v>1</v>
      </c>
      <c r="I403">
        <v>69.569999999999993</v>
      </c>
      <c r="J403">
        <v>0.2</v>
      </c>
      <c r="K403" t="s">
        <v>30</v>
      </c>
      <c r="L403">
        <v>47.74</v>
      </c>
      <c r="M403">
        <f t="shared" si="18"/>
        <v>55.655999999999999</v>
      </c>
      <c r="N403">
        <f t="shared" si="19"/>
        <v>7.9159999999999968</v>
      </c>
      <c r="O403" t="str">
        <f t="shared" si="20"/>
        <v>North</v>
      </c>
    </row>
    <row r="404" spans="1:15" x14ac:dyDescent="0.3">
      <c r="A404" t="s">
        <v>464</v>
      </c>
      <c r="B404" s="1">
        <v>45992</v>
      </c>
      <c r="C404" t="s">
        <v>85</v>
      </c>
      <c r="D404" t="s">
        <v>46</v>
      </c>
      <c r="E404" t="s">
        <v>15</v>
      </c>
      <c r="F404" t="s">
        <v>16</v>
      </c>
      <c r="G404" t="s">
        <v>22</v>
      </c>
      <c r="H404">
        <v>10</v>
      </c>
      <c r="I404">
        <v>386.94</v>
      </c>
      <c r="J404">
        <v>0</v>
      </c>
      <c r="K404" t="s">
        <v>53</v>
      </c>
      <c r="L404">
        <v>281.98</v>
      </c>
      <c r="M404">
        <f t="shared" si="18"/>
        <v>3869.4</v>
      </c>
      <c r="N404">
        <f t="shared" si="19"/>
        <v>3587.42</v>
      </c>
      <c r="O404" t="str">
        <f t="shared" si="20"/>
        <v>North</v>
      </c>
    </row>
    <row r="405" spans="1:15" x14ac:dyDescent="0.3">
      <c r="A405" t="s">
        <v>465</v>
      </c>
      <c r="B405" s="1">
        <v>46017</v>
      </c>
      <c r="C405" t="s">
        <v>92</v>
      </c>
      <c r="D405" t="s">
        <v>26</v>
      </c>
      <c r="E405" t="s">
        <v>27</v>
      </c>
      <c r="F405" t="s">
        <v>21</v>
      </c>
      <c r="G405" t="s">
        <v>22</v>
      </c>
      <c r="H405">
        <v>2</v>
      </c>
      <c r="I405">
        <v>188.86</v>
      </c>
      <c r="J405">
        <v>0.2</v>
      </c>
      <c r="K405" t="s">
        <v>53</v>
      </c>
      <c r="L405">
        <v>116.76</v>
      </c>
      <c r="M405">
        <f t="shared" si="18"/>
        <v>302.17600000000004</v>
      </c>
      <c r="N405">
        <f t="shared" si="19"/>
        <v>185.41600000000005</v>
      </c>
      <c r="O405" t="str">
        <f t="shared" si="20"/>
        <v>South</v>
      </c>
    </row>
    <row r="406" spans="1:15" x14ac:dyDescent="0.3">
      <c r="A406" t="s">
        <v>466</v>
      </c>
      <c r="B406" s="1">
        <v>45968</v>
      </c>
      <c r="C406" t="s">
        <v>92</v>
      </c>
      <c r="D406" t="s">
        <v>43</v>
      </c>
      <c r="E406" t="s">
        <v>15</v>
      </c>
      <c r="F406" t="s">
        <v>28</v>
      </c>
      <c r="G406" t="s">
        <v>40</v>
      </c>
      <c r="H406">
        <v>2</v>
      </c>
      <c r="I406">
        <v>255.22</v>
      </c>
      <c r="J406">
        <v>0.2</v>
      </c>
      <c r="K406" t="s">
        <v>23</v>
      </c>
      <c r="L406">
        <v>158.97</v>
      </c>
      <c r="M406">
        <f t="shared" si="18"/>
        <v>408.35200000000003</v>
      </c>
      <c r="N406">
        <f t="shared" si="19"/>
        <v>249.38200000000003</v>
      </c>
      <c r="O406" t="str">
        <f t="shared" si="20"/>
        <v>West</v>
      </c>
    </row>
    <row r="407" spans="1:15" x14ac:dyDescent="0.3">
      <c r="A407" t="s">
        <v>467</v>
      </c>
      <c r="B407" s="1">
        <v>45969</v>
      </c>
      <c r="C407" t="s">
        <v>48</v>
      </c>
      <c r="D407" t="s">
        <v>64</v>
      </c>
      <c r="E407" t="s">
        <v>34</v>
      </c>
      <c r="F407" t="s">
        <v>35</v>
      </c>
      <c r="G407" t="s">
        <v>17</v>
      </c>
      <c r="H407">
        <v>2</v>
      </c>
      <c r="I407">
        <v>48.54</v>
      </c>
      <c r="J407">
        <v>0</v>
      </c>
      <c r="K407" t="s">
        <v>44</v>
      </c>
      <c r="L407">
        <v>33.22</v>
      </c>
      <c r="M407">
        <f t="shared" si="18"/>
        <v>97.08</v>
      </c>
      <c r="N407">
        <f t="shared" si="19"/>
        <v>63.86</v>
      </c>
      <c r="O407" t="str">
        <f t="shared" si="20"/>
        <v>East</v>
      </c>
    </row>
    <row r="408" spans="1:15" x14ac:dyDescent="0.3">
      <c r="A408" t="s">
        <v>468</v>
      </c>
      <c r="B408" s="1">
        <v>45912</v>
      </c>
      <c r="C408" t="s">
        <v>48</v>
      </c>
      <c r="D408" t="s">
        <v>39</v>
      </c>
      <c r="E408" t="s">
        <v>27</v>
      </c>
      <c r="F408" t="s">
        <v>28</v>
      </c>
      <c r="G408" t="s">
        <v>29</v>
      </c>
      <c r="H408">
        <v>5</v>
      </c>
      <c r="I408">
        <v>281.79000000000002</v>
      </c>
      <c r="J408">
        <v>0.05</v>
      </c>
      <c r="K408" t="s">
        <v>44</v>
      </c>
      <c r="L408">
        <v>157.97999999999999</v>
      </c>
      <c r="M408">
        <f t="shared" si="18"/>
        <v>1338.5025000000001</v>
      </c>
      <c r="N408">
        <f t="shared" si="19"/>
        <v>1180.5225</v>
      </c>
      <c r="O408" t="str">
        <f t="shared" si="20"/>
        <v>West</v>
      </c>
    </row>
    <row r="409" spans="1:15" x14ac:dyDescent="0.3">
      <c r="A409" t="s">
        <v>469</v>
      </c>
      <c r="B409" s="1">
        <v>46000</v>
      </c>
      <c r="C409" t="s">
        <v>108</v>
      </c>
      <c r="D409" t="s">
        <v>20</v>
      </c>
      <c r="E409" t="s">
        <v>15</v>
      </c>
      <c r="F409" t="s">
        <v>21</v>
      </c>
      <c r="G409" t="s">
        <v>40</v>
      </c>
      <c r="H409">
        <v>2</v>
      </c>
      <c r="I409">
        <v>653.19000000000005</v>
      </c>
      <c r="J409">
        <v>0</v>
      </c>
      <c r="K409" t="s">
        <v>23</v>
      </c>
      <c r="L409">
        <v>506.56</v>
      </c>
      <c r="M409">
        <f t="shared" si="18"/>
        <v>1306.3800000000001</v>
      </c>
      <c r="N409">
        <f t="shared" si="19"/>
        <v>799.82000000000016</v>
      </c>
      <c r="O409" t="str">
        <f t="shared" si="20"/>
        <v>South</v>
      </c>
    </row>
    <row r="410" spans="1:15" x14ac:dyDescent="0.3">
      <c r="A410" t="s">
        <v>470</v>
      </c>
      <c r="B410" s="1">
        <v>45891</v>
      </c>
      <c r="C410" t="s">
        <v>79</v>
      </c>
      <c r="D410" t="s">
        <v>14</v>
      </c>
      <c r="E410" t="s">
        <v>15</v>
      </c>
      <c r="F410" t="s">
        <v>35</v>
      </c>
      <c r="G410" t="s">
        <v>65</v>
      </c>
      <c r="H410">
        <v>2</v>
      </c>
      <c r="I410">
        <v>589.42999999999995</v>
      </c>
      <c r="J410">
        <v>0.1</v>
      </c>
      <c r="K410" t="s">
        <v>53</v>
      </c>
      <c r="L410">
        <v>426.73</v>
      </c>
      <c r="M410">
        <f t="shared" si="18"/>
        <v>1060.9739999999999</v>
      </c>
      <c r="N410">
        <f t="shared" si="19"/>
        <v>634.24399999999991</v>
      </c>
      <c r="O410" t="str">
        <f t="shared" si="20"/>
        <v>East</v>
      </c>
    </row>
    <row r="411" spans="1:15" x14ac:dyDescent="0.3">
      <c r="A411" t="s">
        <v>471</v>
      </c>
      <c r="B411" s="1">
        <v>46004</v>
      </c>
      <c r="C411" t="s">
        <v>67</v>
      </c>
      <c r="D411" t="s">
        <v>14</v>
      </c>
      <c r="E411" t="s">
        <v>15</v>
      </c>
      <c r="F411" t="s">
        <v>28</v>
      </c>
      <c r="G411" t="s">
        <v>22</v>
      </c>
      <c r="H411">
        <v>1</v>
      </c>
      <c r="I411">
        <v>625.27</v>
      </c>
      <c r="J411">
        <v>0.1</v>
      </c>
      <c r="K411" t="s">
        <v>53</v>
      </c>
      <c r="L411">
        <v>404.71</v>
      </c>
      <c r="M411">
        <f t="shared" si="18"/>
        <v>562.74300000000005</v>
      </c>
      <c r="N411">
        <f t="shared" si="19"/>
        <v>158.03300000000007</v>
      </c>
      <c r="O411" t="str">
        <f t="shared" si="20"/>
        <v>West</v>
      </c>
    </row>
    <row r="412" spans="1:15" x14ac:dyDescent="0.3">
      <c r="A412" t="s">
        <v>472</v>
      </c>
      <c r="B412" s="1">
        <v>45997</v>
      </c>
      <c r="C412" t="s">
        <v>25</v>
      </c>
      <c r="D412" t="s">
        <v>14</v>
      </c>
      <c r="E412" t="s">
        <v>15</v>
      </c>
      <c r="F412" t="s">
        <v>35</v>
      </c>
      <c r="G412" t="s">
        <v>29</v>
      </c>
      <c r="H412">
        <v>1</v>
      </c>
      <c r="I412">
        <v>640.5</v>
      </c>
      <c r="J412">
        <v>0</v>
      </c>
      <c r="K412" t="s">
        <v>18</v>
      </c>
      <c r="L412">
        <v>499.62</v>
      </c>
      <c r="M412">
        <f t="shared" si="18"/>
        <v>640.5</v>
      </c>
      <c r="N412">
        <f t="shared" si="19"/>
        <v>140.88</v>
      </c>
      <c r="O412" t="str">
        <f t="shared" si="20"/>
        <v>East</v>
      </c>
    </row>
    <row r="413" spans="1:15" x14ac:dyDescent="0.3">
      <c r="A413" t="s">
        <v>473</v>
      </c>
      <c r="B413" s="1">
        <v>45751</v>
      </c>
      <c r="C413" t="s">
        <v>76</v>
      </c>
      <c r="D413" t="s">
        <v>64</v>
      </c>
      <c r="E413" t="s">
        <v>34</v>
      </c>
      <c r="F413" t="s">
        <v>28</v>
      </c>
      <c r="G413" t="s">
        <v>65</v>
      </c>
      <c r="H413">
        <v>2</v>
      </c>
      <c r="I413">
        <v>65.86</v>
      </c>
      <c r="J413">
        <v>0.1</v>
      </c>
      <c r="K413" t="s">
        <v>18</v>
      </c>
      <c r="L413">
        <v>50.71</v>
      </c>
      <c r="M413">
        <f t="shared" si="18"/>
        <v>118.548</v>
      </c>
      <c r="N413">
        <f t="shared" si="19"/>
        <v>67.837999999999994</v>
      </c>
      <c r="O413" t="str">
        <f t="shared" si="20"/>
        <v>West</v>
      </c>
    </row>
    <row r="414" spans="1:15" x14ac:dyDescent="0.3">
      <c r="A414" t="s">
        <v>474</v>
      </c>
      <c r="B414" s="1">
        <v>45743</v>
      </c>
      <c r="C414" t="s">
        <v>76</v>
      </c>
      <c r="D414" t="s">
        <v>43</v>
      </c>
      <c r="E414" t="s">
        <v>15</v>
      </c>
      <c r="F414" t="s">
        <v>21</v>
      </c>
      <c r="G414" t="s">
        <v>22</v>
      </c>
      <c r="H414">
        <v>8</v>
      </c>
      <c r="I414">
        <v>358.93</v>
      </c>
      <c r="J414">
        <v>0.15</v>
      </c>
      <c r="K414" t="s">
        <v>53</v>
      </c>
      <c r="L414">
        <v>260.29000000000002</v>
      </c>
      <c r="M414">
        <f t="shared" si="18"/>
        <v>2440.7240000000002</v>
      </c>
      <c r="N414">
        <f t="shared" si="19"/>
        <v>2180.4340000000002</v>
      </c>
      <c r="O414" t="str">
        <f t="shared" si="20"/>
        <v>South</v>
      </c>
    </row>
    <row r="415" spans="1:15" x14ac:dyDescent="0.3">
      <c r="A415" t="s">
        <v>475</v>
      </c>
      <c r="B415" s="1">
        <v>46005</v>
      </c>
      <c r="C415" t="s">
        <v>73</v>
      </c>
      <c r="D415" t="s">
        <v>33</v>
      </c>
      <c r="E415" t="s">
        <v>34</v>
      </c>
      <c r="F415" t="s">
        <v>21</v>
      </c>
      <c r="G415" t="s">
        <v>17</v>
      </c>
      <c r="H415">
        <v>10</v>
      </c>
      <c r="I415">
        <v>54.52</v>
      </c>
      <c r="J415">
        <v>0.15</v>
      </c>
      <c r="K415" t="s">
        <v>18</v>
      </c>
      <c r="L415">
        <v>41.8</v>
      </c>
      <c r="M415">
        <f t="shared" si="18"/>
        <v>463.42</v>
      </c>
      <c r="N415">
        <f t="shared" si="19"/>
        <v>421.62</v>
      </c>
      <c r="O415" t="str">
        <f t="shared" si="20"/>
        <v>South</v>
      </c>
    </row>
    <row r="416" spans="1:15" x14ac:dyDescent="0.3">
      <c r="A416" t="s">
        <v>476</v>
      </c>
      <c r="B416" s="1">
        <v>45715</v>
      </c>
      <c r="C416" t="s">
        <v>100</v>
      </c>
      <c r="D416" t="s">
        <v>39</v>
      </c>
      <c r="E416" t="s">
        <v>27</v>
      </c>
      <c r="F416" t="s">
        <v>28</v>
      </c>
      <c r="G416" t="s">
        <v>40</v>
      </c>
      <c r="H416">
        <v>3</v>
      </c>
      <c r="I416">
        <v>260.61</v>
      </c>
      <c r="J416">
        <v>0.15</v>
      </c>
      <c r="K416" t="s">
        <v>53</v>
      </c>
      <c r="L416">
        <v>208.1</v>
      </c>
      <c r="M416">
        <f t="shared" si="18"/>
        <v>664.55550000000005</v>
      </c>
      <c r="N416">
        <f t="shared" si="19"/>
        <v>456.45550000000003</v>
      </c>
      <c r="O416" t="str">
        <f t="shared" si="20"/>
        <v>West</v>
      </c>
    </row>
    <row r="417" spans="1:15" x14ac:dyDescent="0.3">
      <c r="A417" t="s">
        <v>477</v>
      </c>
      <c r="B417" s="1">
        <v>45953</v>
      </c>
      <c r="C417" t="s">
        <v>60</v>
      </c>
      <c r="D417" t="s">
        <v>43</v>
      </c>
      <c r="E417" t="s">
        <v>15</v>
      </c>
      <c r="F417" t="s">
        <v>21</v>
      </c>
      <c r="G417" t="s">
        <v>22</v>
      </c>
      <c r="H417">
        <v>1</v>
      </c>
      <c r="I417">
        <v>313.74</v>
      </c>
      <c r="J417">
        <v>0.2</v>
      </c>
      <c r="K417" t="s">
        <v>30</v>
      </c>
      <c r="L417">
        <v>237.57</v>
      </c>
      <c r="M417">
        <f t="shared" si="18"/>
        <v>250.99200000000002</v>
      </c>
      <c r="N417">
        <f t="shared" si="19"/>
        <v>13.422000000000025</v>
      </c>
      <c r="O417" t="str">
        <f t="shared" si="20"/>
        <v>South</v>
      </c>
    </row>
    <row r="418" spans="1:15" x14ac:dyDescent="0.3">
      <c r="A418" t="s">
        <v>478</v>
      </c>
      <c r="B418" s="1">
        <v>45785</v>
      </c>
      <c r="C418" t="s">
        <v>108</v>
      </c>
      <c r="D418" t="s">
        <v>46</v>
      </c>
      <c r="E418" t="s">
        <v>15</v>
      </c>
      <c r="F418" t="s">
        <v>35</v>
      </c>
      <c r="G418" t="s">
        <v>22</v>
      </c>
      <c r="H418">
        <v>10</v>
      </c>
      <c r="I418">
        <v>356.93</v>
      </c>
      <c r="J418">
        <v>0</v>
      </c>
      <c r="K418" t="s">
        <v>18</v>
      </c>
      <c r="L418">
        <v>238.03</v>
      </c>
      <c r="M418">
        <f t="shared" si="18"/>
        <v>3569.3</v>
      </c>
      <c r="N418">
        <f t="shared" si="19"/>
        <v>3331.27</v>
      </c>
      <c r="O418" t="str">
        <f t="shared" si="20"/>
        <v>East</v>
      </c>
    </row>
    <row r="419" spans="1:15" x14ac:dyDescent="0.3">
      <c r="A419" t="s">
        <v>479</v>
      </c>
      <c r="B419" s="1">
        <v>45987</v>
      </c>
      <c r="C419" t="s">
        <v>25</v>
      </c>
      <c r="D419" t="s">
        <v>33</v>
      </c>
      <c r="E419" t="s">
        <v>34</v>
      </c>
      <c r="F419" t="s">
        <v>28</v>
      </c>
      <c r="G419" t="s">
        <v>65</v>
      </c>
      <c r="H419">
        <v>9</v>
      </c>
      <c r="I419">
        <v>157.46</v>
      </c>
      <c r="J419">
        <v>0.2</v>
      </c>
      <c r="K419" t="s">
        <v>44</v>
      </c>
      <c r="L419">
        <v>88.92</v>
      </c>
      <c r="M419">
        <f t="shared" si="18"/>
        <v>1133.7120000000002</v>
      </c>
      <c r="N419">
        <f t="shared" si="19"/>
        <v>1044.7920000000001</v>
      </c>
      <c r="O419" t="str">
        <f t="shared" si="20"/>
        <v>West</v>
      </c>
    </row>
    <row r="420" spans="1:15" x14ac:dyDescent="0.3">
      <c r="A420" t="s">
        <v>480</v>
      </c>
      <c r="B420" s="1">
        <v>45800</v>
      </c>
      <c r="C420" t="s">
        <v>125</v>
      </c>
      <c r="D420" t="s">
        <v>14</v>
      </c>
      <c r="E420" t="s">
        <v>15</v>
      </c>
      <c r="F420" t="s">
        <v>21</v>
      </c>
      <c r="G420" t="s">
        <v>17</v>
      </c>
      <c r="H420">
        <v>6</v>
      </c>
      <c r="I420">
        <v>600.57000000000005</v>
      </c>
      <c r="J420">
        <v>0.05</v>
      </c>
      <c r="K420" t="s">
        <v>18</v>
      </c>
      <c r="L420">
        <v>383.97</v>
      </c>
      <c r="M420">
        <f t="shared" si="18"/>
        <v>3423.2489999999998</v>
      </c>
      <c r="N420">
        <f t="shared" si="19"/>
        <v>3039.2789999999995</v>
      </c>
      <c r="O420" t="str">
        <f t="shared" si="20"/>
        <v>South</v>
      </c>
    </row>
    <row r="421" spans="1:15" x14ac:dyDescent="0.3">
      <c r="A421" t="s">
        <v>481</v>
      </c>
      <c r="B421" s="1">
        <v>45951</v>
      </c>
      <c r="C421" t="s">
        <v>73</v>
      </c>
      <c r="D421" t="s">
        <v>26</v>
      </c>
      <c r="E421" t="s">
        <v>27</v>
      </c>
      <c r="F421" t="s">
        <v>16</v>
      </c>
      <c r="G421" t="s">
        <v>65</v>
      </c>
      <c r="H421">
        <v>2</v>
      </c>
      <c r="I421">
        <v>263.42</v>
      </c>
      <c r="J421">
        <v>0.15</v>
      </c>
      <c r="K421" t="s">
        <v>18</v>
      </c>
      <c r="L421">
        <v>176.47</v>
      </c>
      <c r="M421">
        <f t="shared" si="18"/>
        <v>447.81400000000002</v>
      </c>
      <c r="N421">
        <f t="shared" si="19"/>
        <v>271.34400000000005</v>
      </c>
      <c r="O421" t="str">
        <f t="shared" si="20"/>
        <v>North</v>
      </c>
    </row>
    <row r="422" spans="1:15" x14ac:dyDescent="0.3">
      <c r="A422" t="s">
        <v>482</v>
      </c>
      <c r="B422" s="1">
        <v>45869</v>
      </c>
      <c r="C422" t="s">
        <v>125</v>
      </c>
      <c r="D422" t="s">
        <v>39</v>
      </c>
      <c r="E422" t="s">
        <v>27</v>
      </c>
      <c r="F422" t="s">
        <v>16</v>
      </c>
      <c r="G422" t="s">
        <v>40</v>
      </c>
      <c r="H422">
        <v>8</v>
      </c>
      <c r="I422">
        <v>147.30000000000001</v>
      </c>
      <c r="J422">
        <v>0</v>
      </c>
      <c r="K422" t="s">
        <v>23</v>
      </c>
      <c r="L422">
        <v>85.1</v>
      </c>
      <c r="M422">
        <f t="shared" si="18"/>
        <v>1178.4000000000001</v>
      </c>
      <c r="N422">
        <f t="shared" si="19"/>
        <v>1093.3000000000002</v>
      </c>
      <c r="O422" t="str">
        <f t="shared" si="20"/>
        <v>North</v>
      </c>
    </row>
    <row r="423" spans="1:15" x14ac:dyDescent="0.3">
      <c r="A423" t="s">
        <v>483</v>
      </c>
      <c r="B423" s="1">
        <v>46001</v>
      </c>
      <c r="C423" t="s">
        <v>73</v>
      </c>
      <c r="D423" t="s">
        <v>64</v>
      </c>
      <c r="E423" t="s">
        <v>34</v>
      </c>
      <c r="F423" t="s">
        <v>35</v>
      </c>
      <c r="G423" t="s">
        <v>29</v>
      </c>
      <c r="H423">
        <v>9</v>
      </c>
      <c r="I423">
        <v>108.32</v>
      </c>
      <c r="J423">
        <v>0.2</v>
      </c>
      <c r="K423" t="s">
        <v>53</v>
      </c>
      <c r="L423">
        <v>65.63</v>
      </c>
      <c r="M423">
        <f t="shared" si="18"/>
        <v>779.904</v>
      </c>
      <c r="N423">
        <f t="shared" si="19"/>
        <v>714.274</v>
      </c>
      <c r="O423" t="str">
        <f t="shared" si="20"/>
        <v>East</v>
      </c>
    </row>
    <row r="424" spans="1:15" x14ac:dyDescent="0.3">
      <c r="A424" t="s">
        <v>484</v>
      </c>
      <c r="B424" s="1">
        <v>45965</v>
      </c>
      <c r="C424" t="s">
        <v>108</v>
      </c>
      <c r="D424" t="s">
        <v>70</v>
      </c>
      <c r="E424" t="s">
        <v>34</v>
      </c>
      <c r="F424" t="s">
        <v>35</v>
      </c>
      <c r="G424" t="s">
        <v>22</v>
      </c>
      <c r="H424">
        <v>6</v>
      </c>
      <c r="I424">
        <v>88.32</v>
      </c>
      <c r="J424">
        <v>0.2</v>
      </c>
      <c r="K424" t="s">
        <v>18</v>
      </c>
      <c r="L424">
        <v>66.88</v>
      </c>
      <c r="M424">
        <f t="shared" si="18"/>
        <v>423.93599999999998</v>
      </c>
      <c r="N424">
        <f t="shared" si="19"/>
        <v>357.05599999999998</v>
      </c>
      <c r="O424" t="str">
        <f t="shared" si="20"/>
        <v>East</v>
      </c>
    </row>
    <row r="425" spans="1:15" x14ac:dyDescent="0.3">
      <c r="A425" t="s">
        <v>485</v>
      </c>
      <c r="B425" s="1">
        <v>45982</v>
      </c>
      <c r="C425" t="s">
        <v>79</v>
      </c>
      <c r="D425" t="s">
        <v>14</v>
      </c>
      <c r="E425" t="s">
        <v>15</v>
      </c>
      <c r="F425" t="s">
        <v>35</v>
      </c>
      <c r="G425" t="s">
        <v>22</v>
      </c>
      <c r="H425">
        <v>4</v>
      </c>
      <c r="I425">
        <v>338.97</v>
      </c>
      <c r="J425">
        <v>0</v>
      </c>
      <c r="K425" t="s">
        <v>53</v>
      </c>
      <c r="L425">
        <v>217.68</v>
      </c>
      <c r="M425">
        <f t="shared" si="18"/>
        <v>1355.88</v>
      </c>
      <c r="N425">
        <f t="shared" si="19"/>
        <v>1138.2</v>
      </c>
      <c r="O425" t="str">
        <f t="shared" si="20"/>
        <v>East</v>
      </c>
    </row>
    <row r="426" spans="1:15" x14ac:dyDescent="0.3">
      <c r="A426" t="s">
        <v>486</v>
      </c>
      <c r="B426" s="1">
        <v>45867</v>
      </c>
      <c r="C426" t="s">
        <v>76</v>
      </c>
      <c r="D426" t="s">
        <v>20</v>
      </c>
      <c r="E426" t="s">
        <v>15</v>
      </c>
      <c r="F426" t="s">
        <v>35</v>
      </c>
      <c r="G426" t="s">
        <v>17</v>
      </c>
      <c r="H426">
        <v>8</v>
      </c>
      <c r="I426">
        <v>874.22</v>
      </c>
      <c r="J426">
        <v>0.05</v>
      </c>
      <c r="K426" t="s">
        <v>44</v>
      </c>
      <c r="L426">
        <v>674.81</v>
      </c>
      <c r="M426">
        <f t="shared" si="18"/>
        <v>6644.0720000000001</v>
      </c>
      <c r="N426">
        <f t="shared" si="19"/>
        <v>5969.2620000000006</v>
      </c>
      <c r="O426" t="str">
        <f t="shared" si="20"/>
        <v>East</v>
      </c>
    </row>
    <row r="427" spans="1:15" x14ac:dyDescent="0.3">
      <c r="A427" t="s">
        <v>487</v>
      </c>
      <c r="B427" s="1">
        <v>45755</v>
      </c>
      <c r="C427" t="s">
        <v>67</v>
      </c>
      <c r="D427" t="s">
        <v>70</v>
      </c>
      <c r="E427" t="s">
        <v>34</v>
      </c>
      <c r="F427" t="s">
        <v>16</v>
      </c>
      <c r="G427" t="s">
        <v>65</v>
      </c>
      <c r="H427">
        <v>7</v>
      </c>
      <c r="I427">
        <v>34.06</v>
      </c>
      <c r="J427">
        <v>0.05</v>
      </c>
      <c r="K427" t="s">
        <v>53</v>
      </c>
      <c r="L427">
        <v>22.94</v>
      </c>
      <c r="M427">
        <f t="shared" si="18"/>
        <v>226.499</v>
      </c>
      <c r="N427">
        <f t="shared" si="19"/>
        <v>203.559</v>
      </c>
      <c r="O427" t="str">
        <f t="shared" si="20"/>
        <v>North</v>
      </c>
    </row>
    <row r="428" spans="1:15" x14ac:dyDescent="0.3">
      <c r="A428" t="s">
        <v>488</v>
      </c>
      <c r="B428" s="1">
        <v>45916</v>
      </c>
      <c r="C428" t="s">
        <v>92</v>
      </c>
      <c r="D428" t="s">
        <v>64</v>
      </c>
      <c r="E428" t="s">
        <v>34</v>
      </c>
      <c r="F428" t="s">
        <v>28</v>
      </c>
      <c r="G428" t="s">
        <v>40</v>
      </c>
      <c r="H428">
        <v>8</v>
      </c>
      <c r="I428">
        <v>49.17</v>
      </c>
      <c r="J428">
        <v>0.15</v>
      </c>
      <c r="K428" t="s">
        <v>23</v>
      </c>
      <c r="L428">
        <v>35.79</v>
      </c>
      <c r="M428">
        <f t="shared" si="18"/>
        <v>334.35599999999999</v>
      </c>
      <c r="N428">
        <f t="shared" si="19"/>
        <v>298.56599999999997</v>
      </c>
      <c r="O428" t="str">
        <f t="shared" si="20"/>
        <v>West</v>
      </c>
    </row>
    <row r="429" spans="1:15" x14ac:dyDescent="0.3">
      <c r="A429" t="s">
        <v>489</v>
      </c>
      <c r="B429" s="1">
        <v>45918</v>
      </c>
      <c r="C429" t="s">
        <v>25</v>
      </c>
      <c r="D429" t="s">
        <v>20</v>
      </c>
      <c r="E429" t="s">
        <v>15</v>
      </c>
      <c r="F429" t="s">
        <v>21</v>
      </c>
      <c r="G429" t="s">
        <v>22</v>
      </c>
      <c r="H429">
        <v>7</v>
      </c>
      <c r="I429">
        <v>788.31</v>
      </c>
      <c r="J429">
        <v>0.2</v>
      </c>
      <c r="K429" t="s">
        <v>44</v>
      </c>
      <c r="L429">
        <v>536.36</v>
      </c>
      <c r="M429">
        <f t="shared" si="18"/>
        <v>4414.5360000000001</v>
      </c>
      <c r="N429">
        <f t="shared" si="19"/>
        <v>3878.1759999999999</v>
      </c>
      <c r="O429" t="str">
        <f t="shared" si="20"/>
        <v>South</v>
      </c>
    </row>
    <row r="430" spans="1:15" x14ac:dyDescent="0.3">
      <c r="A430" t="s">
        <v>490</v>
      </c>
      <c r="B430" s="1">
        <v>45916</v>
      </c>
      <c r="C430" t="s">
        <v>55</v>
      </c>
      <c r="D430" t="s">
        <v>14</v>
      </c>
      <c r="E430" t="s">
        <v>15</v>
      </c>
      <c r="F430" t="s">
        <v>28</v>
      </c>
      <c r="G430" t="s">
        <v>17</v>
      </c>
      <c r="H430">
        <v>10</v>
      </c>
      <c r="I430">
        <v>454.96</v>
      </c>
      <c r="J430">
        <v>0.2</v>
      </c>
      <c r="K430" t="s">
        <v>44</v>
      </c>
      <c r="L430">
        <v>358.66</v>
      </c>
      <c r="M430">
        <f t="shared" si="18"/>
        <v>3639.68</v>
      </c>
      <c r="N430">
        <f t="shared" si="19"/>
        <v>3281.02</v>
      </c>
      <c r="O430" t="str">
        <f t="shared" si="20"/>
        <v>West</v>
      </c>
    </row>
    <row r="431" spans="1:15" x14ac:dyDescent="0.3">
      <c r="A431" t="s">
        <v>491</v>
      </c>
      <c r="B431" s="1">
        <v>45726</v>
      </c>
      <c r="C431" t="s">
        <v>92</v>
      </c>
      <c r="D431" t="s">
        <v>43</v>
      </c>
      <c r="E431" t="s">
        <v>15</v>
      </c>
      <c r="F431" t="s">
        <v>28</v>
      </c>
      <c r="G431" t="s">
        <v>17</v>
      </c>
      <c r="H431">
        <v>6</v>
      </c>
      <c r="I431">
        <v>249.47</v>
      </c>
      <c r="J431">
        <v>0.1</v>
      </c>
      <c r="K431" t="s">
        <v>23</v>
      </c>
      <c r="L431">
        <v>167.71</v>
      </c>
      <c r="M431">
        <f t="shared" si="18"/>
        <v>1347.1379999999999</v>
      </c>
      <c r="N431">
        <f t="shared" si="19"/>
        <v>1179.4279999999999</v>
      </c>
      <c r="O431" t="str">
        <f t="shared" si="20"/>
        <v>West</v>
      </c>
    </row>
    <row r="432" spans="1:15" x14ac:dyDescent="0.3">
      <c r="A432" t="s">
        <v>492</v>
      </c>
      <c r="B432" s="1">
        <v>45941</v>
      </c>
      <c r="C432" t="s">
        <v>48</v>
      </c>
      <c r="D432" t="s">
        <v>43</v>
      </c>
      <c r="E432" t="s">
        <v>15</v>
      </c>
      <c r="F432" t="s">
        <v>21</v>
      </c>
      <c r="G432" t="s">
        <v>49</v>
      </c>
      <c r="H432">
        <v>9</v>
      </c>
      <c r="I432">
        <v>360.77</v>
      </c>
      <c r="J432">
        <v>0.1</v>
      </c>
      <c r="K432" t="s">
        <v>23</v>
      </c>
      <c r="L432">
        <v>267.77</v>
      </c>
      <c r="M432">
        <f t="shared" si="18"/>
        <v>2922.2370000000001</v>
      </c>
      <c r="N432">
        <f t="shared" si="19"/>
        <v>2654.4670000000001</v>
      </c>
      <c r="O432" t="str">
        <f t="shared" si="20"/>
        <v>South</v>
      </c>
    </row>
    <row r="433" spans="1:15" x14ac:dyDescent="0.3">
      <c r="A433" t="s">
        <v>493</v>
      </c>
      <c r="B433" s="1">
        <v>46013</v>
      </c>
      <c r="C433" t="s">
        <v>67</v>
      </c>
      <c r="D433" t="s">
        <v>43</v>
      </c>
      <c r="E433" t="s">
        <v>15</v>
      </c>
      <c r="F433" t="s">
        <v>16</v>
      </c>
      <c r="G433" t="s">
        <v>29</v>
      </c>
      <c r="H433">
        <v>3</v>
      </c>
      <c r="I433">
        <v>321.64999999999998</v>
      </c>
      <c r="J433">
        <v>0.05</v>
      </c>
      <c r="K433" t="s">
        <v>23</v>
      </c>
      <c r="L433">
        <v>220.67</v>
      </c>
      <c r="M433">
        <f t="shared" si="18"/>
        <v>916.70249999999987</v>
      </c>
      <c r="N433">
        <f t="shared" si="19"/>
        <v>696.03249999999991</v>
      </c>
      <c r="O433" t="str">
        <f t="shared" si="20"/>
        <v>North</v>
      </c>
    </row>
    <row r="434" spans="1:15" x14ac:dyDescent="0.3">
      <c r="A434" t="s">
        <v>494</v>
      </c>
      <c r="B434" s="1">
        <v>45874</v>
      </c>
      <c r="C434" t="s">
        <v>85</v>
      </c>
      <c r="D434" t="s">
        <v>61</v>
      </c>
      <c r="E434" t="s">
        <v>34</v>
      </c>
      <c r="F434" t="s">
        <v>16</v>
      </c>
      <c r="G434" t="s">
        <v>40</v>
      </c>
      <c r="H434">
        <v>7</v>
      </c>
      <c r="I434">
        <v>82.45</v>
      </c>
      <c r="J434">
        <v>0.2</v>
      </c>
      <c r="K434" t="s">
        <v>18</v>
      </c>
      <c r="L434">
        <v>51.71</v>
      </c>
      <c r="M434">
        <f t="shared" si="18"/>
        <v>461.72</v>
      </c>
      <c r="N434">
        <f t="shared" si="19"/>
        <v>410.01000000000005</v>
      </c>
      <c r="O434" t="str">
        <f t="shared" si="20"/>
        <v>North</v>
      </c>
    </row>
    <row r="435" spans="1:15" x14ac:dyDescent="0.3">
      <c r="A435" t="s">
        <v>495</v>
      </c>
      <c r="B435" s="1">
        <v>45740</v>
      </c>
      <c r="C435" t="s">
        <v>79</v>
      </c>
      <c r="D435" t="s">
        <v>33</v>
      </c>
      <c r="E435" t="s">
        <v>34</v>
      </c>
      <c r="F435" t="s">
        <v>35</v>
      </c>
      <c r="G435" t="s">
        <v>49</v>
      </c>
      <c r="H435">
        <v>1</v>
      </c>
      <c r="I435">
        <v>47.43</v>
      </c>
      <c r="J435">
        <v>0.05</v>
      </c>
      <c r="K435" t="s">
        <v>53</v>
      </c>
      <c r="L435">
        <v>29.51</v>
      </c>
      <c r="M435">
        <f t="shared" si="18"/>
        <v>45.058499999999995</v>
      </c>
      <c r="N435">
        <f t="shared" si="19"/>
        <v>15.548499999999994</v>
      </c>
      <c r="O435" t="str">
        <f t="shared" si="20"/>
        <v>East</v>
      </c>
    </row>
    <row r="436" spans="1:15" x14ac:dyDescent="0.3">
      <c r="A436" t="s">
        <v>496</v>
      </c>
      <c r="B436" s="1">
        <v>45889</v>
      </c>
      <c r="C436" t="s">
        <v>76</v>
      </c>
      <c r="D436" t="s">
        <v>43</v>
      </c>
      <c r="E436" t="s">
        <v>15</v>
      </c>
      <c r="F436" t="s">
        <v>21</v>
      </c>
      <c r="G436" t="s">
        <v>22</v>
      </c>
      <c r="H436">
        <v>9</v>
      </c>
      <c r="I436">
        <v>201</v>
      </c>
      <c r="J436">
        <v>0</v>
      </c>
      <c r="K436" t="s">
        <v>23</v>
      </c>
      <c r="L436">
        <v>130.02000000000001</v>
      </c>
      <c r="M436">
        <f t="shared" si="18"/>
        <v>1809</v>
      </c>
      <c r="N436">
        <f t="shared" si="19"/>
        <v>1678.98</v>
      </c>
      <c r="O436" t="str">
        <f t="shared" si="20"/>
        <v>South</v>
      </c>
    </row>
    <row r="437" spans="1:15" x14ac:dyDescent="0.3">
      <c r="A437" t="s">
        <v>497</v>
      </c>
      <c r="B437" s="1">
        <v>45856</v>
      </c>
      <c r="C437" t="s">
        <v>100</v>
      </c>
      <c r="D437" t="s">
        <v>26</v>
      </c>
      <c r="E437" t="s">
        <v>27</v>
      </c>
      <c r="F437" t="s">
        <v>35</v>
      </c>
      <c r="G437" t="s">
        <v>17</v>
      </c>
      <c r="H437">
        <v>5</v>
      </c>
      <c r="I437">
        <v>147.52000000000001</v>
      </c>
      <c r="J437">
        <v>0</v>
      </c>
      <c r="K437" t="s">
        <v>53</v>
      </c>
      <c r="L437">
        <v>118.04</v>
      </c>
      <c r="M437">
        <f t="shared" si="18"/>
        <v>737.6</v>
      </c>
      <c r="N437">
        <f t="shared" si="19"/>
        <v>619.56000000000006</v>
      </c>
      <c r="O437" t="str">
        <f t="shared" si="20"/>
        <v>East</v>
      </c>
    </row>
    <row r="438" spans="1:15" x14ac:dyDescent="0.3">
      <c r="A438" t="s">
        <v>498</v>
      </c>
      <c r="B438" s="1">
        <v>45884</v>
      </c>
      <c r="C438" t="s">
        <v>69</v>
      </c>
      <c r="D438" t="s">
        <v>20</v>
      </c>
      <c r="E438" t="s">
        <v>15</v>
      </c>
      <c r="F438" t="s">
        <v>35</v>
      </c>
      <c r="G438" t="s">
        <v>17</v>
      </c>
      <c r="H438">
        <v>4</v>
      </c>
      <c r="I438">
        <v>835.92</v>
      </c>
      <c r="J438">
        <v>0.2</v>
      </c>
      <c r="K438" t="s">
        <v>23</v>
      </c>
      <c r="L438">
        <v>655.85</v>
      </c>
      <c r="M438">
        <f t="shared" si="18"/>
        <v>2674.944</v>
      </c>
      <c r="N438">
        <f t="shared" si="19"/>
        <v>2019.0940000000001</v>
      </c>
      <c r="O438" t="str">
        <f t="shared" si="20"/>
        <v>East</v>
      </c>
    </row>
    <row r="439" spans="1:15" x14ac:dyDescent="0.3">
      <c r="A439" t="s">
        <v>499</v>
      </c>
      <c r="B439" s="1">
        <v>46007</v>
      </c>
      <c r="C439" t="s">
        <v>37</v>
      </c>
      <c r="D439" t="s">
        <v>64</v>
      </c>
      <c r="E439" t="s">
        <v>34</v>
      </c>
      <c r="F439" t="s">
        <v>21</v>
      </c>
      <c r="G439" t="s">
        <v>49</v>
      </c>
      <c r="H439">
        <v>4</v>
      </c>
      <c r="I439">
        <v>57.59</v>
      </c>
      <c r="J439">
        <v>0.1</v>
      </c>
      <c r="K439" t="s">
        <v>23</v>
      </c>
      <c r="L439">
        <v>38.65</v>
      </c>
      <c r="M439">
        <f t="shared" si="18"/>
        <v>207.32400000000001</v>
      </c>
      <c r="N439">
        <f t="shared" si="19"/>
        <v>168.67400000000001</v>
      </c>
      <c r="O439" t="str">
        <f t="shared" si="20"/>
        <v>South</v>
      </c>
    </row>
    <row r="440" spans="1:15" x14ac:dyDescent="0.3">
      <c r="A440" t="s">
        <v>500</v>
      </c>
      <c r="B440" s="1">
        <v>45724</v>
      </c>
      <c r="C440" t="s">
        <v>25</v>
      </c>
      <c r="D440" t="s">
        <v>14</v>
      </c>
      <c r="E440" t="s">
        <v>15</v>
      </c>
      <c r="F440" t="s">
        <v>35</v>
      </c>
      <c r="G440" t="s">
        <v>40</v>
      </c>
      <c r="H440">
        <v>7</v>
      </c>
      <c r="I440">
        <v>450.88</v>
      </c>
      <c r="J440">
        <v>0.1</v>
      </c>
      <c r="K440" t="s">
        <v>30</v>
      </c>
      <c r="L440">
        <v>315.74</v>
      </c>
      <c r="M440">
        <f t="shared" si="18"/>
        <v>2840.5439999999999</v>
      </c>
      <c r="N440">
        <f t="shared" si="19"/>
        <v>2524.8040000000001</v>
      </c>
      <c r="O440" t="str">
        <f t="shared" si="20"/>
        <v>East</v>
      </c>
    </row>
    <row r="441" spans="1:15" x14ac:dyDescent="0.3">
      <c r="A441" t="s">
        <v>501</v>
      </c>
      <c r="B441" s="1">
        <v>45823</v>
      </c>
      <c r="C441" t="s">
        <v>104</v>
      </c>
      <c r="D441" t="s">
        <v>61</v>
      </c>
      <c r="E441" t="s">
        <v>34</v>
      </c>
      <c r="F441" t="s">
        <v>16</v>
      </c>
      <c r="G441" t="s">
        <v>22</v>
      </c>
      <c r="H441">
        <v>3</v>
      </c>
      <c r="I441">
        <v>93.87</v>
      </c>
      <c r="J441">
        <v>0</v>
      </c>
      <c r="K441" t="s">
        <v>23</v>
      </c>
      <c r="L441">
        <v>55.52</v>
      </c>
      <c r="M441">
        <f t="shared" si="18"/>
        <v>281.61</v>
      </c>
      <c r="N441">
        <f t="shared" si="19"/>
        <v>226.09</v>
      </c>
      <c r="O441" t="str">
        <f t="shared" si="20"/>
        <v>North</v>
      </c>
    </row>
    <row r="442" spans="1:15" x14ac:dyDescent="0.3">
      <c r="A442" t="s">
        <v>502</v>
      </c>
      <c r="B442" s="1">
        <v>46020</v>
      </c>
      <c r="C442" t="s">
        <v>67</v>
      </c>
      <c r="D442" t="s">
        <v>43</v>
      </c>
      <c r="E442" t="s">
        <v>15</v>
      </c>
      <c r="F442" t="s">
        <v>21</v>
      </c>
      <c r="G442" t="s">
        <v>49</v>
      </c>
      <c r="H442">
        <v>10</v>
      </c>
      <c r="I442">
        <v>272.64</v>
      </c>
      <c r="J442">
        <v>0.2</v>
      </c>
      <c r="K442" t="s">
        <v>23</v>
      </c>
      <c r="L442">
        <v>176.31</v>
      </c>
      <c r="M442">
        <f t="shared" si="18"/>
        <v>2181.12</v>
      </c>
      <c r="N442">
        <f t="shared" si="19"/>
        <v>2004.81</v>
      </c>
      <c r="O442" t="str">
        <f t="shared" si="20"/>
        <v>South</v>
      </c>
    </row>
    <row r="443" spans="1:15" x14ac:dyDescent="0.3">
      <c r="A443" t="s">
        <v>503</v>
      </c>
      <c r="B443" s="1">
        <v>45864</v>
      </c>
      <c r="C443" t="s">
        <v>37</v>
      </c>
      <c r="D443" t="s">
        <v>14</v>
      </c>
      <c r="E443" t="s">
        <v>15</v>
      </c>
      <c r="F443" t="s">
        <v>35</v>
      </c>
      <c r="G443" t="s">
        <v>49</v>
      </c>
      <c r="H443">
        <v>3</v>
      </c>
      <c r="I443">
        <v>614.5</v>
      </c>
      <c r="J443">
        <v>0.15</v>
      </c>
      <c r="K443" t="s">
        <v>44</v>
      </c>
      <c r="L443">
        <v>428.08</v>
      </c>
      <c r="M443">
        <f t="shared" si="18"/>
        <v>1566.9749999999999</v>
      </c>
      <c r="N443">
        <f t="shared" si="19"/>
        <v>1138.895</v>
      </c>
      <c r="O443" t="str">
        <f t="shared" si="20"/>
        <v>East</v>
      </c>
    </row>
    <row r="444" spans="1:15" x14ac:dyDescent="0.3">
      <c r="A444" t="s">
        <v>504</v>
      </c>
      <c r="B444" s="1">
        <v>45974</v>
      </c>
      <c r="C444" t="s">
        <v>52</v>
      </c>
      <c r="D444" t="s">
        <v>39</v>
      </c>
      <c r="E444" t="s">
        <v>27</v>
      </c>
      <c r="F444" t="s">
        <v>28</v>
      </c>
      <c r="G444" t="s">
        <v>17</v>
      </c>
      <c r="H444">
        <v>5</v>
      </c>
      <c r="I444">
        <v>196.15</v>
      </c>
      <c r="J444">
        <v>0.05</v>
      </c>
      <c r="K444" t="s">
        <v>53</v>
      </c>
      <c r="L444">
        <v>158.21</v>
      </c>
      <c r="M444">
        <f t="shared" si="18"/>
        <v>931.71249999999998</v>
      </c>
      <c r="N444">
        <f t="shared" si="19"/>
        <v>773.50249999999994</v>
      </c>
      <c r="O444" t="str">
        <f t="shared" si="20"/>
        <v>West</v>
      </c>
    </row>
    <row r="445" spans="1:15" x14ac:dyDescent="0.3">
      <c r="A445" t="s">
        <v>505</v>
      </c>
      <c r="B445" s="1">
        <v>45972</v>
      </c>
      <c r="C445" t="s">
        <v>104</v>
      </c>
      <c r="D445" t="s">
        <v>14</v>
      </c>
      <c r="E445" t="s">
        <v>15</v>
      </c>
      <c r="F445" t="s">
        <v>21</v>
      </c>
      <c r="G445" t="s">
        <v>40</v>
      </c>
      <c r="H445">
        <v>8</v>
      </c>
      <c r="I445">
        <v>567.58000000000004</v>
      </c>
      <c r="J445">
        <v>0.05</v>
      </c>
      <c r="K445" t="s">
        <v>30</v>
      </c>
      <c r="L445">
        <v>450.78</v>
      </c>
      <c r="M445">
        <f t="shared" si="18"/>
        <v>4313.6080000000002</v>
      </c>
      <c r="N445">
        <f t="shared" si="19"/>
        <v>3862.8280000000004</v>
      </c>
      <c r="O445" t="str">
        <f t="shared" si="20"/>
        <v>South</v>
      </c>
    </row>
    <row r="446" spans="1:15" x14ac:dyDescent="0.3">
      <c r="A446" t="s">
        <v>506</v>
      </c>
      <c r="B446" s="1">
        <v>45802</v>
      </c>
      <c r="C446" t="s">
        <v>85</v>
      </c>
      <c r="D446" t="s">
        <v>26</v>
      </c>
      <c r="E446" t="s">
        <v>27</v>
      </c>
      <c r="F446" t="s">
        <v>35</v>
      </c>
      <c r="G446" t="s">
        <v>17</v>
      </c>
      <c r="H446">
        <v>2</v>
      </c>
      <c r="I446">
        <v>283.19</v>
      </c>
      <c r="J446">
        <v>0.15</v>
      </c>
      <c r="K446" t="s">
        <v>23</v>
      </c>
      <c r="L446">
        <v>175.37</v>
      </c>
      <c r="M446">
        <f t="shared" si="18"/>
        <v>481.423</v>
      </c>
      <c r="N446">
        <f t="shared" si="19"/>
        <v>306.053</v>
      </c>
      <c r="O446" t="str">
        <f t="shared" si="20"/>
        <v>East</v>
      </c>
    </row>
    <row r="447" spans="1:15" x14ac:dyDescent="0.3">
      <c r="A447" t="s">
        <v>507</v>
      </c>
      <c r="B447" s="1">
        <v>45700</v>
      </c>
      <c r="C447" t="s">
        <v>76</v>
      </c>
      <c r="D447" t="s">
        <v>61</v>
      </c>
      <c r="E447" t="s">
        <v>34</v>
      </c>
      <c r="F447" t="s">
        <v>21</v>
      </c>
      <c r="G447" t="s">
        <v>17</v>
      </c>
      <c r="H447">
        <v>5</v>
      </c>
      <c r="I447">
        <v>73.81</v>
      </c>
      <c r="J447">
        <v>0.05</v>
      </c>
      <c r="K447" t="s">
        <v>23</v>
      </c>
      <c r="L447">
        <v>46.98</v>
      </c>
      <c r="M447">
        <f t="shared" si="18"/>
        <v>350.59749999999997</v>
      </c>
      <c r="N447">
        <f t="shared" si="19"/>
        <v>303.61749999999995</v>
      </c>
      <c r="O447" t="str">
        <f t="shared" si="20"/>
        <v>South</v>
      </c>
    </row>
    <row r="448" spans="1:15" x14ac:dyDescent="0.3">
      <c r="A448" t="s">
        <v>508</v>
      </c>
      <c r="B448" s="1">
        <v>45875</v>
      </c>
      <c r="C448" t="s">
        <v>76</v>
      </c>
      <c r="D448" t="s">
        <v>20</v>
      </c>
      <c r="E448" t="s">
        <v>15</v>
      </c>
      <c r="F448" t="s">
        <v>21</v>
      </c>
      <c r="G448" t="s">
        <v>17</v>
      </c>
      <c r="H448">
        <v>4</v>
      </c>
      <c r="I448">
        <v>806.73</v>
      </c>
      <c r="J448">
        <v>0.05</v>
      </c>
      <c r="K448" t="s">
        <v>18</v>
      </c>
      <c r="L448">
        <v>632.1</v>
      </c>
      <c r="M448">
        <f t="shared" si="18"/>
        <v>3065.5740000000001</v>
      </c>
      <c r="N448">
        <f t="shared" si="19"/>
        <v>2433.4740000000002</v>
      </c>
      <c r="O448" t="str">
        <f t="shared" si="20"/>
        <v>South</v>
      </c>
    </row>
    <row r="449" spans="1:15" x14ac:dyDescent="0.3">
      <c r="A449" t="s">
        <v>509</v>
      </c>
      <c r="B449" s="1">
        <v>45827</v>
      </c>
      <c r="C449" t="s">
        <v>125</v>
      </c>
      <c r="D449" t="s">
        <v>14</v>
      </c>
      <c r="E449" t="s">
        <v>15</v>
      </c>
      <c r="F449" t="s">
        <v>16</v>
      </c>
      <c r="G449" t="s">
        <v>40</v>
      </c>
      <c r="H449">
        <v>3</v>
      </c>
      <c r="I449">
        <v>598.76</v>
      </c>
      <c r="J449">
        <v>0</v>
      </c>
      <c r="K449" t="s">
        <v>53</v>
      </c>
      <c r="L449">
        <v>403.56</v>
      </c>
      <c r="M449">
        <f t="shared" si="18"/>
        <v>1796.28</v>
      </c>
      <c r="N449">
        <f t="shared" si="19"/>
        <v>1392.72</v>
      </c>
      <c r="O449" t="str">
        <f t="shared" si="20"/>
        <v>North</v>
      </c>
    </row>
    <row r="450" spans="1:15" x14ac:dyDescent="0.3">
      <c r="A450" t="s">
        <v>510</v>
      </c>
      <c r="B450" s="1">
        <v>45774</v>
      </c>
      <c r="C450" t="s">
        <v>42</v>
      </c>
      <c r="D450" t="s">
        <v>33</v>
      </c>
      <c r="E450" t="s">
        <v>34</v>
      </c>
      <c r="F450" t="s">
        <v>28</v>
      </c>
      <c r="G450" t="s">
        <v>65</v>
      </c>
      <c r="H450">
        <v>9</v>
      </c>
      <c r="I450">
        <v>151.19</v>
      </c>
      <c r="J450">
        <v>0</v>
      </c>
      <c r="K450" t="s">
        <v>18</v>
      </c>
      <c r="L450">
        <v>106.63</v>
      </c>
      <c r="M450">
        <f t="shared" ref="M450:M501" si="21">H450*I450*(1-J450)</f>
        <v>1360.71</v>
      </c>
      <c r="N450">
        <f t="shared" ref="N450:N513" si="22">M450-L450</f>
        <v>1254.08</v>
      </c>
      <c r="O450" t="str">
        <f t="shared" ref="O450:O501" si="23">TRIM(CLEAN(SUBSTITUTE(F450,CHAR(160)," ")))</f>
        <v>West</v>
      </c>
    </row>
    <row r="451" spans="1:15" x14ac:dyDescent="0.3">
      <c r="A451" t="s">
        <v>511</v>
      </c>
      <c r="B451" s="1">
        <v>45931</v>
      </c>
      <c r="C451" t="s">
        <v>85</v>
      </c>
      <c r="D451" t="s">
        <v>26</v>
      </c>
      <c r="E451" t="s">
        <v>27</v>
      </c>
      <c r="F451" t="s">
        <v>16</v>
      </c>
      <c r="G451" t="s">
        <v>22</v>
      </c>
      <c r="H451">
        <v>1</v>
      </c>
      <c r="I451">
        <v>186.61</v>
      </c>
      <c r="J451">
        <v>0.15</v>
      </c>
      <c r="K451" t="s">
        <v>23</v>
      </c>
      <c r="L451">
        <v>136.56</v>
      </c>
      <c r="M451">
        <f t="shared" si="21"/>
        <v>158.61850000000001</v>
      </c>
      <c r="N451">
        <f t="shared" si="22"/>
        <v>22.058500000000009</v>
      </c>
      <c r="O451" t="str">
        <f t="shared" si="23"/>
        <v>North</v>
      </c>
    </row>
    <row r="452" spans="1:15" x14ac:dyDescent="0.3">
      <c r="A452" t="s">
        <v>512</v>
      </c>
      <c r="B452" s="1">
        <v>45712</v>
      </c>
      <c r="C452" t="s">
        <v>79</v>
      </c>
      <c r="D452" t="s">
        <v>20</v>
      </c>
      <c r="E452" t="s">
        <v>15</v>
      </c>
      <c r="F452" t="s">
        <v>35</v>
      </c>
      <c r="G452" t="s">
        <v>17</v>
      </c>
      <c r="H452">
        <v>2</v>
      </c>
      <c r="I452">
        <v>825.22</v>
      </c>
      <c r="J452">
        <v>0.1</v>
      </c>
      <c r="K452" t="s">
        <v>53</v>
      </c>
      <c r="L452">
        <v>660.65</v>
      </c>
      <c r="M452">
        <f t="shared" si="21"/>
        <v>1485.3960000000002</v>
      </c>
      <c r="N452">
        <f t="shared" si="22"/>
        <v>824.74600000000021</v>
      </c>
      <c r="O452" t="str">
        <f t="shared" si="23"/>
        <v>East</v>
      </c>
    </row>
    <row r="453" spans="1:15" x14ac:dyDescent="0.3">
      <c r="A453" t="s">
        <v>513</v>
      </c>
      <c r="B453" s="1">
        <v>45996</v>
      </c>
      <c r="C453" t="s">
        <v>85</v>
      </c>
      <c r="D453" t="s">
        <v>43</v>
      </c>
      <c r="E453" t="s">
        <v>15</v>
      </c>
      <c r="F453" t="s">
        <v>28</v>
      </c>
      <c r="G453" t="s">
        <v>49</v>
      </c>
      <c r="H453">
        <v>8</v>
      </c>
      <c r="I453">
        <v>341.32</v>
      </c>
      <c r="J453">
        <v>0.15</v>
      </c>
      <c r="K453" t="s">
        <v>23</v>
      </c>
      <c r="L453">
        <v>224.14</v>
      </c>
      <c r="M453">
        <f t="shared" si="21"/>
        <v>2320.9760000000001</v>
      </c>
      <c r="N453">
        <f t="shared" si="22"/>
        <v>2096.8360000000002</v>
      </c>
      <c r="O453" t="str">
        <f t="shared" si="23"/>
        <v>West</v>
      </c>
    </row>
    <row r="454" spans="1:15" x14ac:dyDescent="0.3">
      <c r="A454" t="s">
        <v>514</v>
      </c>
      <c r="B454" s="1">
        <v>45982</v>
      </c>
      <c r="C454" t="s">
        <v>92</v>
      </c>
      <c r="D454" t="s">
        <v>70</v>
      </c>
      <c r="E454" t="s">
        <v>34</v>
      </c>
      <c r="F454" t="s">
        <v>35</v>
      </c>
      <c r="G454" t="s">
        <v>22</v>
      </c>
      <c r="H454">
        <v>7</v>
      </c>
      <c r="I454">
        <v>35.229999999999997</v>
      </c>
      <c r="J454">
        <v>0.2</v>
      </c>
      <c r="K454" t="s">
        <v>30</v>
      </c>
      <c r="L454">
        <v>22.18</v>
      </c>
      <c r="M454">
        <f t="shared" si="21"/>
        <v>197.28800000000001</v>
      </c>
      <c r="N454">
        <f t="shared" si="22"/>
        <v>175.108</v>
      </c>
      <c r="O454" t="str">
        <f t="shared" si="23"/>
        <v>East</v>
      </c>
    </row>
    <row r="455" spans="1:15" x14ac:dyDescent="0.3">
      <c r="A455" t="s">
        <v>515</v>
      </c>
      <c r="B455" s="1">
        <v>45660</v>
      </c>
      <c r="C455" t="s">
        <v>60</v>
      </c>
      <c r="D455" t="s">
        <v>20</v>
      </c>
      <c r="E455" t="s">
        <v>15</v>
      </c>
      <c r="F455" t="s">
        <v>28</v>
      </c>
      <c r="G455" t="s">
        <v>17</v>
      </c>
      <c r="H455">
        <v>9</v>
      </c>
      <c r="I455">
        <v>788.38</v>
      </c>
      <c r="J455">
        <v>0.05</v>
      </c>
      <c r="K455" t="s">
        <v>23</v>
      </c>
      <c r="L455">
        <v>459.84</v>
      </c>
      <c r="M455">
        <f t="shared" si="21"/>
        <v>6740.6489999999994</v>
      </c>
      <c r="N455">
        <f t="shared" si="22"/>
        <v>6280.8089999999993</v>
      </c>
      <c r="O455" t="str">
        <f t="shared" si="23"/>
        <v>West</v>
      </c>
    </row>
    <row r="456" spans="1:15" x14ac:dyDescent="0.3">
      <c r="A456" t="s">
        <v>516</v>
      </c>
      <c r="B456" s="1">
        <v>45988</v>
      </c>
      <c r="C456" t="s">
        <v>52</v>
      </c>
      <c r="D456" t="s">
        <v>14</v>
      </c>
      <c r="E456" t="s">
        <v>15</v>
      </c>
      <c r="F456" t="s">
        <v>21</v>
      </c>
      <c r="G456" t="s">
        <v>49</v>
      </c>
      <c r="H456">
        <v>6</v>
      </c>
      <c r="I456">
        <v>421.88</v>
      </c>
      <c r="J456">
        <v>0.05</v>
      </c>
      <c r="K456" t="s">
        <v>44</v>
      </c>
      <c r="L456">
        <v>279.04000000000002</v>
      </c>
      <c r="M456">
        <f t="shared" si="21"/>
        <v>2404.7159999999994</v>
      </c>
      <c r="N456">
        <f t="shared" si="22"/>
        <v>2125.6759999999995</v>
      </c>
      <c r="O456" t="str">
        <f t="shared" si="23"/>
        <v>South</v>
      </c>
    </row>
    <row r="457" spans="1:15" x14ac:dyDescent="0.3">
      <c r="A457" t="s">
        <v>517</v>
      </c>
      <c r="B457" s="1">
        <v>46001</v>
      </c>
      <c r="C457" t="s">
        <v>60</v>
      </c>
      <c r="D457" t="s">
        <v>70</v>
      </c>
      <c r="E457" t="s">
        <v>34</v>
      </c>
      <c r="F457" t="s">
        <v>16</v>
      </c>
      <c r="G457" t="s">
        <v>17</v>
      </c>
      <c r="H457">
        <v>5</v>
      </c>
      <c r="I457">
        <v>71.27</v>
      </c>
      <c r="J457">
        <v>0.05</v>
      </c>
      <c r="K457" t="s">
        <v>18</v>
      </c>
      <c r="L457">
        <v>41.4</v>
      </c>
      <c r="M457">
        <f t="shared" si="21"/>
        <v>338.53249999999997</v>
      </c>
      <c r="N457">
        <f t="shared" si="22"/>
        <v>297.13249999999999</v>
      </c>
      <c r="O457" t="str">
        <f t="shared" si="23"/>
        <v>North</v>
      </c>
    </row>
    <row r="458" spans="1:15" x14ac:dyDescent="0.3">
      <c r="A458" t="s">
        <v>518</v>
      </c>
      <c r="B458" s="1">
        <v>45955</v>
      </c>
      <c r="C458" t="s">
        <v>108</v>
      </c>
      <c r="D458" t="s">
        <v>46</v>
      </c>
      <c r="E458" t="s">
        <v>15</v>
      </c>
      <c r="F458" t="s">
        <v>35</v>
      </c>
      <c r="G458" t="s">
        <v>29</v>
      </c>
      <c r="H458">
        <v>2</v>
      </c>
      <c r="I458">
        <v>221.94</v>
      </c>
      <c r="J458">
        <v>0.1</v>
      </c>
      <c r="K458" t="s">
        <v>44</v>
      </c>
      <c r="L458">
        <v>127.95</v>
      </c>
      <c r="M458">
        <f t="shared" si="21"/>
        <v>399.49200000000002</v>
      </c>
      <c r="N458">
        <f t="shared" si="22"/>
        <v>271.54200000000003</v>
      </c>
      <c r="O458" t="str">
        <f t="shared" si="23"/>
        <v>East</v>
      </c>
    </row>
    <row r="459" spans="1:15" x14ac:dyDescent="0.3">
      <c r="A459" t="s">
        <v>519</v>
      </c>
      <c r="B459" s="1">
        <v>45820</v>
      </c>
      <c r="C459" t="s">
        <v>108</v>
      </c>
      <c r="D459" t="s">
        <v>70</v>
      </c>
      <c r="E459" t="s">
        <v>34</v>
      </c>
      <c r="F459" t="s">
        <v>28</v>
      </c>
      <c r="G459" t="s">
        <v>29</v>
      </c>
      <c r="H459">
        <v>10</v>
      </c>
      <c r="I459">
        <v>32.5</v>
      </c>
      <c r="J459">
        <v>0</v>
      </c>
      <c r="K459" t="s">
        <v>23</v>
      </c>
      <c r="L459">
        <v>25.77</v>
      </c>
      <c r="M459">
        <f t="shared" si="21"/>
        <v>325</v>
      </c>
      <c r="N459">
        <f t="shared" si="22"/>
        <v>299.23</v>
      </c>
      <c r="O459" t="str">
        <f t="shared" si="23"/>
        <v>West</v>
      </c>
    </row>
    <row r="460" spans="1:15" x14ac:dyDescent="0.3">
      <c r="A460" t="s">
        <v>520</v>
      </c>
      <c r="B460" s="1">
        <v>45819</v>
      </c>
      <c r="C460" t="s">
        <v>100</v>
      </c>
      <c r="D460" t="s">
        <v>43</v>
      </c>
      <c r="E460" t="s">
        <v>15</v>
      </c>
      <c r="F460" t="s">
        <v>21</v>
      </c>
      <c r="G460" t="s">
        <v>40</v>
      </c>
      <c r="H460">
        <v>3</v>
      </c>
      <c r="I460">
        <v>323.36</v>
      </c>
      <c r="J460">
        <v>0.2</v>
      </c>
      <c r="K460" t="s">
        <v>30</v>
      </c>
      <c r="L460">
        <v>227.34</v>
      </c>
      <c r="M460">
        <f t="shared" si="21"/>
        <v>776.06400000000008</v>
      </c>
      <c r="N460">
        <f t="shared" si="22"/>
        <v>548.72400000000005</v>
      </c>
      <c r="O460" t="str">
        <f t="shared" si="23"/>
        <v>South</v>
      </c>
    </row>
    <row r="461" spans="1:15" x14ac:dyDescent="0.3">
      <c r="A461" t="s">
        <v>521</v>
      </c>
      <c r="B461" s="1">
        <v>45726</v>
      </c>
      <c r="C461" t="s">
        <v>67</v>
      </c>
      <c r="D461" t="s">
        <v>70</v>
      </c>
      <c r="E461" t="s">
        <v>34</v>
      </c>
      <c r="F461" t="s">
        <v>28</v>
      </c>
      <c r="G461" t="s">
        <v>65</v>
      </c>
      <c r="H461">
        <v>7</v>
      </c>
      <c r="I461">
        <v>83.92</v>
      </c>
      <c r="J461">
        <v>0.1</v>
      </c>
      <c r="K461" t="s">
        <v>18</v>
      </c>
      <c r="L461">
        <v>65.19</v>
      </c>
      <c r="M461">
        <f t="shared" si="21"/>
        <v>528.69600000000003</v>
      </c>
      <c r="N461">
        <f t="shared" si="22"/>
        <v>463.50600000000003</v>
      </c>
      <c r="O461" t="str">
        <f t="shared" si="23"/>
        <v>West</v>
      </c>
    </row>
    <row r="462" spans="1:15" x14ac:dyDescent="0.3">
      <c r="A462" t="s">
        <v>522</v>
      </c>
      <c r="B462" s="1">
        <v>45988</v>
      </c>
      <c r="C462" t="s">
        <v>104</v>
      </c>
      <c r="D462" t="s">
        <v>39</v>
      </c>
      <c r="E462" t="s">
        <v>27</v>
      </c>
      <c r="F462" t="s">
        <v>16</v>
      </c>
      <c r="G462" t="s">
        <v>29</v>
      </c>
      <c r="H462">
        <v>8</v>
      </c>
      <c r="I462">
        <v>298.2</v>
      </c>
      <c r="J462">
        <v>0.2</v>
      </c>
      <c r="K462" t="s">
        <v>44</v>
      </c>
      <c r="L462">
        <v>172.77</v>
      </c>
      <c r="M462">
        <f t="shared" si="21"/>
        <v>1908.48</v>
      </c>
      <c r="N462">
        <f t="shared" si="22"/>
        <v>1735.71</v>
      </c>
      <c r="O462" t="str">
        <f t="shared" si="23"/>
        <v>North</v>
      </c>
    </row>
    <row r="463" spans="1:15" x14ac:dyDescent="0.3">
      <c r="A463" t="s">
        <v>523</v>
      </c>
      <c r="B463" s="1">
        <v>45917</v>
      </c>
      <c r="C463" t="s">
        <v>85</v>
      </c>
      <c r="D463" t="s">
        <v>46</v>
      </c>
      <c r="E463" t="s">
        <v>15</v>
      </c>
      <c r="F463" t="s">
        <v>28</v>
      </c>
      <c r="G463" t="s">
        <v>17</v>
      </c>
      <c r="H463">
        <v>2</v>
      </c>
      <c r="I463">
        <v>258.93</v>
      </c>
      <c r="J463">
        <v>0</v>
      </c>
      <c r="K463" t="s">
        <v>44</v>
      </c>
      <c r="L463">
        <v>204.78</v>
      </c>
      <c r="M463">
        <f t="shared" si="21"/>
        <v>517.86</v>
      </c>
      <c r="N463">
        <f t="shared" si="22"/>
        <v>313.08000000000004</v>
      </c>
      <c r="O463" t="str">
        <f t="shared" si="23"/>
        <v>West</v>
      </c>
    </row>
    <row r="464" spans="1:15" x14ac:dyDescent="0.3">
      <c r="A464" t="s">
        <v>524</v>
      </c>
      <c r="B464" s="1">
        <v>45734</v>
      </c>
      <c r="C464" t="s">
        <v>32</v>
      </c>
      <c r="D464" t="s">
        <v>20</v>
      </c>
      <c r="E464" t="s">
        <v>15</v>
      </c>
      <c r="F464" t="s">
        <v>28</v>
      </c>
      <c r="G464" t="s">
        <v>49</v>
      </c>
      <c r="H464">
        <v>9</v>
      </c>
      <c r="I464">
        <v>787.9</v>
      </c>
      <c r="J464">
        <v>0.2</v>
      </c>
      <c r="K464" t="s">
        <v>23</v>
      </c>
      <c r="L464">
        <v>533.78</v>
      </c>
      <c r="M464">
        <f t="shared" si="21"/>
        <v>5672.88</v>
      </c>
      <c r="N464">
        <f t="shared" si="22"/>
        <v>5139.1000000000004</v>
      </c>
      <c r="O464" t="str">
        <f t="shared" si="23"/>
        <v>West</v>
      </c>
    </row>
    <row r="465" spans="1:15" x14ac:dyDescent="0.3">
      <c r="A465" t="s">
        <v>525</v>
      </c>
      <c r="B465" s="1">
        <v>45844</v>
      </c>
      <c r="C465" t="s">
        <v>52</v>
      </c>
      <c r="D465" t="s">
        <v>43</v>
      </c>
      <c r="E465" t="s">
        <v>15</v>
      </c>
      <c r="F465" t="s">
        <v>16</v>
      </c>
      <c r="G465" t="s">
        <v>22</v>
      </c>
      <c r="H465">
        <v>9</v>
      </c>
      <c r="I465">
        <v>183.47</v>
      </c>
      <c r="J465">
        <v>0.2</v>
      </c>
      <c r="K465" t="s">
        <v>44</v>
      </c>
      <c r="L465">
        <v>105.39</v>
      </c>
      <c r="M465">
        <f t="shared" si="21"/>
        <v>1320.9840000000002</v>
      </c>
      <c r="N465">
        <f t="shared" si="22"/>
        <v>1215.5940000000001</v>
      </c>
      <c r="O465" t="str">
        <f t="shared" si="23"/>
        <v>North</v>
      </c>
    </row>
    <row r="466" spans="1:15" x14ac:dyDescent="0.3">
      <c r="A466" t="s">
        <v>526</v>
      </c>
      <c r="B466" s="1">
        <v>45749</v>
      </c>
      <c r="C466" t="s">
        <v>60</v>
      </c>
      <c r="D466" t="s">
        <v>64</v>
      </c>
      <c r="E466" t="s">
        <v>34</v>
      </c>
      <c r="F466" t="s">
        <v>21</v>
      </c>
      <c r="G466" t="s">
        <v>22</v>
      </c>
      <c r="H466">
        <v>9</v>
      </c>
      <c r="I466">
        <v>113.68</v>
      </c>
      <c r="J466">
        <v>0.05</v>
      </c>
      <c r="K466" t="s">
        <v>18</v>
      </c>
      <c r="L466">
        <v>76.22</v>
      </c>
      <c r="M466">
        <f t="shared" si="21"/>
        <v>971.96400000000006</v>
      </c>
      <c r="N466">
        <f t="shared" si="22"/>
        <v>895.74400000000003</v>
      </c>
      <c r="O466" t="str">
        <f t="shared" si="23"/>
        <v>South</v>
      </c>
    </row>
    <row r="467" spans="1:15" x14ac:dyDescent="0.3">
      <c r="A467" t="s">
        <v>527</v>
      </c>
      <c r="B467" s="1">
        <v>45847</v>
      </c>
      <c r="C467" t="s">
        <v>69</v>
      </c>
      <c r="D467" t="s">
        <v>39</v>
      </c>
      <c r="E467" t="s">
        <v>27</v>
      </c>
      <c r="F467" t="s">
        <v>16</v>
      </c>
      <c r="G467" t="s">
        <v>22</v>
      </c>
      <c r="H467">
        <v>8</v>
      </c>
      <c r="I467">
        <v>129.30000000000001</v>
      </c>
      <c r="J467">
        <v>0.05</v>
      </c>
      <c r="K467" t="s">
        <v>44</v>
      </c>
      <c r="L467">
        <v>73.31</v>
      </c>
      <c r="M467">
        <f t="shared" si="21"/>
        <v>982.68000000000006</v>
      </c>
      <c r="N467">
        <f t="shared" si="22"/>
        <v>909.37000000000012</v>
      </c>
      <c r="O467" t="str">
        <f t="shared" si="23"/>
        <v>North</v>
      </c>
    </row>
    <row r="468" spans="1:15" x14ac:dyDescent="0.3">
      <c r="A468" t="s">
        <v>528</v>
      </c>
      <c r="B468" s="1">
        <v>45890</v>
      </c>
      <c r="C468" t="s">
        <v>125</v>
      </c>
      <c r="D468" t="s">
        <v>46</v>
      </c>
      <c r="E468" t="s">
        <v>15</v>
      </c>
      <c r="F468" t="s">
        <v>16</v>
      </c>
      <c r="G468" t="s">
        <v>22</v>
      </c>
      <c r="H468">
        <v>6</v>
      </c>
      <c r="I468">
        <v>472.32</v>
      </c>
      <c r="J468">
        <v>0.15</v>
      </c>
      <c r="K468" t="s">
        <v>30</v>
      </c>
      <c r="L468">
        <v>319.67</v>
      </c>
      <c r="M468">
        <f t="shared" si="21"/>
        <v>2408.8319999999999</v>
      </c>
      <c r="N468">
        <f t="shared" si="22"/>
        <v>2089.1619999999998</v>
      </c>
      <c r="O468" t="str">
        <f t="shared" si="23"/>
        <v>North</v>
      </c>
    </row>
    <row r="469" spans="1:15" x14ac:dyDescent="0.3">
      <c r="A469" t="s">
        <v>529</v>
      </c>
      <c r="B469" s="1">
        <v>45792</v>
      </c>
      <c r="C469" t="s">
        <v>60</v>
      </c>
      <c r="D469" t="s">
        <v>14</v>
      </c>
      <c r="E469" t="s">
        <v>15</v>
      </c>
      <c r="F469" t="s">
        <v>21</v>
      </c>
      <c r="G469" t="s">
        <v>65</v>
      </c>
      <c r="H469">
        <v>9</v>
      </c>
      <c r="I469">
        <v>581.49</v>
      </c>
      <c r="J469">
        <v>0.1</v>
      </c>
      <c r="K469" t="s">
        <v>18</v>
      </c>
      <c r="L469">
        <v>450.9</v>
      </c>
      <c r="M469">
        <f t="shared" si="21"/>
        <v>4710.0690000000004</v>
      </c>
      <c r="N469">
        <f t="shared" si="22"/>
        <v>4259.1690000000008</v>
      </c>
      <c r="O469" t="str">
        <f t="shared" si="23"/>
        <v>South</v>
      </c>
    </row>
    <row r="470" spans="1:15" x14ac:dyDescent="0.3">
      <c r="A470" t="s">
        <v>530</v>
      </c>
      <c r="B470" s="1">
        <v>45772</v>
      </c>
      <c r="C470" t="s">
        <v>52</v>
      </c>
      <c r="D470" t="s">
        <v>39</v>
      </c>
      <c r="E470" t="s">
        <v>27</v>
      </c>
      <c r="F470" t="s">
        <v>28</v>
      </c>
      <c r="G470" t="s">
        <v>29</v>
      </c>
      <c r="H470">
        <v>2</v>
      </c>
      <c r="I470">
        <v>255.17</v>
      </c>
      <c r="J470">
        <v>0.2</v>
      </c>
      <c r="K470" t="s">
        <v>30</v>
      </c>
      <c r="L470">
        <v>157.68</v>
      </c>
      <c r="M470">
        <f t="shared" si="21"/>
        <v>408.27199999999999</v>
      </c>
      <c r="N470">
        <f t="shared" si="22"/>
        <v>250.59199999999998</v>
      </c>
      <c r="O470" t="str">
        <f t="shared" si="23"/>
        <v>West</v>
      </c>
    </row>
    <row r="471" spans="1:15" x14ac:dyDescent="0.3">
      <c r="A471" t="s">
        <v>531</v>
      </c>
      <c r="B471" s="1">
        <v>45729</v>
      </c>
      <c r="C471" t="s">
        <v>73</v>
      </c>
      <c r="D471" t="s">
        <v>61</v>
      </c>
      <c r="E471" t="s">
        <v>34</v>
      </c>
      <c r="F471" t="s">
        <v>21</v>
      </c>
      <c r="G471" t="s">
        <v>49</v>
      </c>
      <c r="H471">
        <v>10</v>
      </c>
      <c r="I471">
        <v>101.34</v>
      </c>
      <c r="J471">
        <v>0</v>
      </c>
      <c r="K471" t="s">
        <v>53</v>
      </c>
      <c r="L471">
        <v>69.47</v>
      </c>
      <c r="M471">
        <f t="shared" si="21"/>
        <v>1013.4000000000001</v>
      </c>
      <c r="N471">
        <f t="shared" si="22"/>
        <v>943.93000000000006</v>
      </c>
      <c r="O471" t="str">
        <f t="shared" si="23"/>
        <v>South</v>
      </c>
    </row>
    <row r="472" spans="1:15" x14ac:dyDescent="0.3">
      <c r="A472" t="s">
        <v>532</v>
      </c>
      <c r="B472" s="1">
        <v>45843</v>
      </c>
      <c r="C472" t="s">
        <v>104</v>
      </c>
      <c r="D472" t="s">
        <v>46</v>
      </c>
      <c r="E472" t="s">
        <v>15</v>
      </c>
      <c r="F472" t="s">
        <v>16</v>
      </c>
      <c r="G472" t="s">
        <v>22</v>
      </c>
      <c r="H472">
        <v>4</v>
      </c>
      <c r="I472">
        <v>393.04</v>
      </c>
      <c r="J472">
        <v>0.05</v>
      </c>
      <c r="K472" t="s">
        <v>44</v>
      </c>
      <c r="L472">
        <v>236.01</v>
      </c>
      <c r="M472">
        <f t="shared" si="21"/>
        <v>1493.5519999999999</v>
      </c>
      <c r="N472">
        <f t="shared" si="22"/>
        <v>1257.5419999999999</v>
      </c>
      <c r="O472" t="str">
        <f t="shared" si="23"/>
        <v>North</v>
      </c>
    </row>
    <row r="473" spans="1:15" x14ac:dyDescent="0.3">
      <c r="A473" t="s">
        <v>533</v>
      </c>
      <c r="B473" s="1">
        <v>45903</v>
      </c>
      <c r="C473" t="s">
        <v>48</v>
      </c>
      <c r="D473" t="s">
        <v>26</v>
      </c>
      <c r="E473" t="s">
        <v>27</v>
      </c>
      <c r="F473" t="s">
        <v>21</v>
      </c>
      <c r="G473" t="s">
        <v>22</v>
      </c>
      <c r="H473">
        <v>2</v>
      </c>
      <c r="I473">
        <v>262.23</v>
      </c>
      <c r="J473">
        <v>0.15</v>
      </c>
      <c r="K473" t="s">
        <v>18</v>
      </c>
      <c r="L473">
        <v>192.03</v>
      </c>
      <c r="M473">
        <f t="shared" si="21"/>
        <v>445.791</v>
      </c>
      <c r="N473">
        <f t="shared" si="22"/>
        <v>253.761</v>
      </c>
      <c r="O473" t="str">
        <f t="shared" si="23"/>
        <v>South</v>
      </c>
    </row>
    <row r="474" spans="1:15" x14ac:dyDescent="0.3">
      <c r="A474" t="s">
        <v>534</v>
      </c>
      <c r="B474" s="1">
        <v>45726</v>
      </c>
      <c r="C474" t="s">
        <v>52</v>
      </c>
      <c r="D474" t="s">
        <v>20</v>
      </c>
      <c r="E474" t="s">
        <v>15</v>
      </c>
      <c r="F474" t="s">
        <v>16</v>
      </c>
      <c r="G474" t="s">
        <v>17</v>
      </c>
      <c r="H474">
        <v>3</v>
      </c>
      <c r="I474">
        <v>710.92</v>
      </c>
      <c r="J474">
        <v>0.2</v>
      </c>
      <c r="K474" t="s">
        <v>44</v>
      </c>
      <c r="L474">
        <v>504.71</v>
      </c>
      <c r="M474">
        <f t="shared" si="21"/>
        <v>1706.2079999999999</v>
      </c>
      <c r="N474">
        <f t="shared" si="22"/>
        <v>1201.4979999999998</v>
      </c>
      <c r="O474" t="str">
        <f t="shared" si="23"/>
        <v>North</v>
      </c>
    </row>
    <row r="475" spans="1:15" x14ac:dyDescent="0.3">
      <c r="A475" t="s">
        <v>535</v>
      </c>
      <c r="B475" s="1">
        <v>45964</v>
      </c>
      <c r="C475" t="s">
        <v>60</v>
      </c>
      <c r="D475" t="s">
        <v>20</v>
      </c>
      <c r="E475" t="s">
        <v>15</v>
      </c>
      <c r="F475" t="s">
        <v>16</v>
      </c>
      <c r="G475" t="s">
        <v>22</v>
      </c>
      <c r="H475">
        <v>3</v>
      </c>
      <c r="I475">
        <v>691.59</v>
      </c>
      <c r="J475">
        <v>0.2</v>
      </c>
      <c r="K475" t="s">
        <v>30</v>
      </c>
      <c r="L475">
        <v>559.30999999999995</v>
      </c>
      <c r="M475">
        <f t="shared" si="21"/>
        <v>1659.816</v>
      </c>
      <c r="N475">
        <f t="shared" si="22"/>
        <v>1100.5060000000001</v>
      </c>
      <c r="O475" t="str">
        <f t="shared" si="23"/>
        <v>North</v>
      </c>
    </row>
    <row r="476" spans="1:15" x14ac:dyDescent="0.3">
      <c r="A476" t="s">
        <v>536</v>
      </c>
      <c r="B476" s="1">
        <v>45745</v>
      </c>
      <c r="C476" t="s">
        <v>69</v>
      </c>
      <c r="D476" t="s">
        <v>14</v>
      </c>
      <c r="E476" t="s">
        <v>15</v>
      </c>
      <c r="F476" t="s">
        <v>28</v>
      </c>
      <c r="G476" t="s">
        <v>17</v>
      </c>
      <c r="H476">
        <v>10</v>
      </c>
      <c r="I476">
        <v>386.64</v>
      </c>
      <c r="J476">
        <v>0.15</v>
      </c>
      <c r="K476" t="s">
        <v>44</v>
      </c>
      <c r="L476">
        <v>303.19</v>
      </c>
      <c r="M476">
        <f t="shared" si="21"/>
        <v>3286.4399999999996</v>
      </c>
      <c r="N476">
        <f t="shared" si="22"/>
        <v>2983.2499999999995</v>
      </c>
      <c r="O476" t="str">
        <f t="shared" si="23"/>
        <v>West</v>
      </c>
    </row>
    <row r="477" spans="1:15" x14ac:dyDescent="0.3">
      <c r="A477" t="s">
        <v>537</v>
      </c>
      <c r="B477" s="1">
        <v>45793</v>
      </c>
      <c r="C477" t="s">
        <v>25</v>
      </c>
      <c r="D477" t="s">
        <v>64</v>
      </c>
      <c r="E477" t="s">
        <v>34</v>
      </c>
      <c r="F477" t="s">
        <v>35</v>
      </c>
      <c r="G477" t="s">
        <v>65</v>
      </c>
      <c r="H477">
        <v>3</v>
      </c>
      <c r="I477">
        <v>129.35</v>
      </c>
      <c r="J477">
        <v>0.2</v>
      </c>
      <c r="K477" t="s">
        <v>23</v>
      </c>
      <c r="L477">
        <v>94.18</v>
      </c>
      <c r="M477">
        <f t="shared" si="21"/>
        <v>310.44</v>
      </c>
      <c r="N477">
        <f t="shared" si="22"/>
        <v>216.26</v>
      </c>
      <c r="O477" t="str">
        <f t="shared" si="23"/>
        <v>East</v>
      </c>
    </row>
    <row r="478" spans="1:15" x14ac:dyDescent="0.3">
      <c r="A478" t="s">
        <v>538</v>
      </c>
      <c r="B478" s="1">
        <v>45666</v>
      </c>
      <c r="C478" t="s">
        <v>48</v>
      </c>
      <c r="D478" t="s">
        <v>64</v>
      </c>
      <c r="E478" t="s">
        <v>34</v>
      </c>
      <c r="F478" t="s">
        <v>28</v>
      </c>
      <c r="G478" t="s">
        <v>49</v>
      </c>
      <c r="H478">
        <v>7</v>
      </c>
      <c r="I478">
        <v>42.92</v>
      </c>
      <c r="J478">
        <v>0.15</v>
      </c>
      <c r="K478" t="s">
        <v>23</v>
      </c>
      <c r="L478">
        <v>25.14</v>
      </c>
      <c r="M478">
        <f t="shared" si="21"/>
        <v>255.374</v>
      </c>
      <c r="N478">
        <f t="shared" si="22"/>
        <v>230.23399999999998</v>
      </c>
      <c r="O478" t="str">
        <f t="shared" si="23"/>
        <v>West</v>
      </c>
    </row>
    <row r="479" spans="1:15" x14ac:dyDescent="0.3">
      <c r="A479" t="s">
        <v>539</v>
      </c>
      <c r="B479" s="1">
        <v>45930</v>
      </c>
      <c r="C479" t="s">
        <v>52</v>
      </c>
      <c r="D479" t="s">
        <v>14</v>
      </c>
      <c r="E479" t="s">
        <v>15</v>
      </c>
      <c r="F479" t="s">
        <v>16</v>
      </c>
      <c r="G479" t="s">
        <v>40</v>
      </c>
      <c r="H479">
        <v>10</v>
      </c>
      <c r="I479">
        <v>370.97</v>
      </c>
      <c r="J479">
        <v>0.2</v>
      </c>
      <c r="K479" t="s">
        <v>18</v>
      </c>
      <c r="L479">
        <v>207.94</v>
      </c>
      <c r="M479">
        <f t="shared" si="21"/>
        <v>2967.76</v>
      </c>
      <c r="N479">
        <f t="shared" si="22"/>
        <v>2759.82</v>
      </c>
      <c r="O479" t="str">
        <f t="shared" si="23"/>
        <v>North</v>
      </c>
    </row>
    <row r="480" spans="1:15" x14ac:dyDescent="0.3">
      <c r="A480" t="s">
        <v>540</v>
      </c>
      <c r="B480" s="1">
        <v>46005</v>
      </c>
      <c r="C480" t="s">
        <v>100</v>
      </c>
      <c r="D480" t="s">
        <v>33</v>
      </c>
      <c r="E480" t="s">
        <v>34</v>
      </c>
      <c r="F480" t="s">
        <v>28</v>
      </c>
      <c r="G480" t="s">
        <v>29</v>
      </c>
      <c r="H480">
        <v>9</v>
      </c>
      <c r="I480">
        <v>166.28</v>
      </c>
      <c r="J480">
        <v>0</v>
      </c>
      <c r="K480" t="s">
        <v>53</v>
      </c>
      <c r="L480">
        <v>131.72</v>
      </c>
      <c r="M480">
        <f t="shared" si="21"/>
        <v>1496.52</v>
      </c>
      <c r="N480">
        <f t="shared" si="22"/>
        <v>1364.8</v>
      </c>
      <c r="O480" t="str">
        <f t="shared" si="23"/>
        <v>West</v>
      </c>
    </row>
    <row r="481" spans="1:15" x14ac:dyDescent="0.3">
      <c r="A481" t="s">
        <v>541</v>
      </c>
      <c r="B481" s="1">
        <v>46014</v>
      </c>
      <c r="C481" t="s">
        <v>60</v>
      </c>
      <c r="D481" t="s">
        <v>46</v>
      </c>
      <c r="E481" t="s">
        <v>15</v>
      </c>
      <c r="F481" t="s">
        <v>16</v>
      </c>
      <c r="G481" t="s">
        <v>65</v>
      </c>
      <c r="H481">
        <v>8</v>
      </c>
      <c r="I481">
        <v>328.69</v>
      </c>
      <c r="J481">
        <v>0.15</v>
      </c>
      <c r="K481" t="s">
        <v>44</v>
      </c>
      <c r="L481">
        <v>211.89</v>
      </c>
      <c r="M481">
        <f t="shared" si="21"/>
        <v>2235.0920000000001</v>
      </c>
      <c r="N481">
        <f t="shared" si="22"/>
        <v>2023.2020000000002</v>
      </c>
      <c r="O481" t="str">
        <f t="shared" si="23"/>
        <v>North</v>
      </c>
    </row>
    <row r="482" spans="1:15" x14ac:dyDescent="0.3">
      <c r="A482" t="s">
        <v>542</v>
      </c>
      <c r="B482" s="1">
        <v>45936</v>
      </c>
      <c r="C482" t="s">
        <v>100</v>
      </c>
      <c r="D482" t="s">
        <v>43</v>
      </c>
      <c r="E482" t="s">
        <v>15</v>
      </c>
      <c r="F482" t="s">
        <v>35</v>
      </c>
      <c r="G482" t="s">
        <v>49</v>
      </c>
      <c r="H482">
        <v>4</v>
      </c>
      <c r="I482">
        <v>269.29000000000002</v>
      </c>
      <c r="J482">
        <v>0</v>
      </c>
      <c r="K482" t="s">
        <v>53</v>
      </c>
      <c r="L482">
        <v>168.71</v>
      </c>
      <c r="M482">
        <f t="shared" si="21"/>
        <v>1077.1600000000001</v>
      </c>
      <c r="N482">
        <f t="shared" si="22"/>
        <v>908.45</v>
      </c>
      <c r="O482" t="str">
        <f t="shared" si="23"/>
        <v>East</v>
      </c>
    </row>
    <row r="483" spans="1:15" x14ac:dyDescent="0.3">
      <c r="A483" t="s">
        <v>543</v>
      </c>
      <c r="B483" s="1">
        <v>45993</v>
      </c>
      <c r="C483" t="s">
        <v>48</v>
      </c>
      <c r="D483" t="s">
        <v>20</v>
      </c>
      <c r="E483" t="s">
        <v>15</v>
      </c>
      <c r="F483" t="s">
        <v>35</v>
      </c>
      <c r="G483" t="s">
        <v>65</v>
      </c>
      <c r="H483">
        <v>2</v>
      </c>
      <c r="I483">
        <v>794.5</v>
      </c>
      <c r="J483">
        <v>0.2</v>
      </c>
      <c r="K483" t="s">
        <v>30</v>
      </c>
      <c r="L483">
        <v>438.52</v>
      </c>
      <c r="M483">
        <f t="shared" si="21"/>
        <v>1271.2</v>
      </c>
      <c r="N483">
        <f t="shared" si="22"/>
        <v>832.68000000000006</v>
      </c>
      <c r="O483" t="str">
        <f t="shared" si="23"/>
        <v>East</v>
      </c>
    </row>
    <row r="484" spans="1:15" x14ac:dyDescent="0.3">
      <c r="A484" t="s">
        <v>544</v>
      </c>
      <c r="B484" s="1">
        <v>45932</v>
      </c>
      <c r="C484" t="s">
        <v>100</v>
      </c>
      <c r="D484" t="s">
        <v>14</v>
      </c>
      <c r="E484" t="s">
        <v>15</v>
      </c>
      <c r="F484" t="s">
        <v>35</v>
      </c>
      <c r="G484" t="s">
        <v>17</v>
      </c>
      <c r="H484">
        <v>10</v>
      </c>
      <c r="I484">
        <v>361.91</v>
      </c>
      <c r="J484">
        <v>0.1</v>
      </c>
      <c r="K484" t="s">
        <v>30</v>
      </c>
      <c r="L484">
        <v>224.58</v>
      </c>
      <c r="M484">
        <f t="shared" si="21"/>
        <v>3257.1900000000005</v>
      </c>
      <c r="N484">
        <f t="shared" si="22"/>
        <v>3032.6100000000006</v>
      </c>
      <c r="O484" t="str">
        <f t="shared" si="23"/>
        <v>East</v>
      </c>
    </row>
    <row r="485" spans="1:15" x14ac:dyDescent="0.3">
      <c r="A485" t="s">
        <v>545</v>
      </c>
      <c r="B485" s="1">
        <v>45905</v>
      </c>
      <c r="C485" t="s">
        <v>25</v>
      </c>
      <c r="D485" t="s">
        <v>26</v>
      </c>
      <c r="E485" t="s">
        <v>27</v>
      </c>
      <c r="F485" t="s">
        <v>35</v>
      </c>
      <c r="G485" t="s">
        <v>17</v>
      </c>
      <c r="H485">
        <v>7</v>
      </c>
      <c r="I485">
        <v>250.99</v>
      </c>
      <c r="J485">
        <v>0.2</v>
      </c>
      <c r="K485" t="s">
        <v>23</v>
      </c>
      <c r="L485">
        <v>191.16</v>
      </c>
      <c r="M485">
        <f t="shared" si="21"/>
        <v>1405.5440000000001</v>
      </c>
      <c r="N485">
        <f t="shared" si="22"/>
        <v>1214.384</v>
      </c>
      <c r="O485" t="str">
        <f t="shared" si="23"/>
        <v>East</v>
      </c>
    </row>
    <row r="486" spans="1:15" x14ac:dyDescent="0.3">
      <c r="A486" t="s">
        <v>546</v>
      </c>
      <c r="B486" s="1">
        <v>46019</v>
      </c>
      <c r="C486" t="s">
        <v>55</v>
      </c>
      <c r="D486" t="s">
        <v>61</v>
      </c>
      <c r="E486" t="s">
        <v>34</v>
      </c>
      <c r="F486" t="s">
        <v>21</v>
      </c>
      <c r="G486" t="s">
        <v>22</v>
      </c>
      <c r="H486">
        <v>5</v>
      </c>
      <c r="I486">
        <v>52.84</v>
      </c>
      <c r="J486">
        <v>0.2</v>
      </c>
      <c r="K486" t="s">
        <v>53</v>
      </c>
      <c r="L486">
        <v>33.97</v>
      </c>
      <c r="M486">
        <f t="shared" si="21"/>
        <v>211.36000000000004</v>
      </c>
      <c r="N486">
        <f t="shared" si="22"/>
        <v>177.39000000000004</v>
      </c>
      <c r="O486" t="str">
        <f t="shared" si="23"/>
        <v>South</v>
      </c>
    </row>
    <row r="487" spans="1:15" x14ac:dyDescent="0.3">
      <c r="A487" t="s">
        <v>547</v>
      </c>
      <c r="B487" s="1">
        <v>45863</v>
      </c>
      <c r="C487" t="s">
        <v>67</v>
      </c>
      <c r="D487" t="s">
        <v>70</v>
      </c>
      <c r="E487" t="s">
        <v>34</v>
      </c>
      <c r="F487" t="s">
        <v>16</v>
      </c>
      <c r="G487" t="s">
        <v>49</v>
      </c>
      <c r="H487">
        <v>3</v>
      </c>
      <c r="I487">
        <v>58.49</v>
      </c>
      <c r="J487">
        <v>0</v>
      </c>
      <c r="K487" t="s">
        <v>18</v>
      </c>
      <c r="L487">
        <v>35.56</v>
      </c>
      <c r="M487">
        <f t="shared" si="21"/>
        <v>175.47</v>
      </c>
      <c r="N487">
        <f t="shared" si="22"/>
        <v>139.91</v>
      </c>
      <c r="O487" t="str">
        <f t="shared" si="23"/>
        <v>North</v>
      </c>
    </row>
    <row r="488" spans="1:15" x14ac:dyDescent="0.3">
      <c r="A488" t="s">
        <v>548</v>
      </c>
      <c r="B488" s="1">
        <v>45880</v>
      </c>
      <c r="C488" t="s">
        <v>37</v>
      </c>
      <c r="D488" t="s">
        <v>20</v>
      </c>
      <c r="E488" t="s">
        <v>15</v>
      </c>
      <c r="F488" t="s">
        <v>16</v>
      </c>
      <c r="G488" t="s">
        <v>29</v>
      </c>
      <c r="H488">
        <v>3</v>
      </c>
      <c r="I488">
        <v>851.09</v>
      </c>
      <c r="J488">
        <v>0.15</v>
      </c>
      <c r="K488" t="s">
        <v>44</v>
      </c>
      <c r="L488">
        <v>680.86</v>
      </c>
      <c r="M488">
        <f t="shared" si="21"/>
        <v>2170.2795000000001</v>
      </c>
      <c r="N488">
        <f t="shared" si="22"/>
        <v>1489.4195</v>
      </c>
      <c r="O488" t="str">
        <f t="shared" si="23"/>
        <v>North</v>
      </c>
    </row>
    <row r="489" spans="1:15" x14ac:dyDescent="0.3">
      <c r="A489" t="s">
        <v>549</v>
      </c>
      <c r="B489" s="1">
        <v>45863</v>
      </c>
      <c r="C489" t="s">
        <v>104</v>
      </c>
      <c r="D489" t="s">
        <v>39</v>
      </c>
      <c r="E489" t="s">
        <v>27</v>
      </c>
      <c r="F489" t="s">
        <v>35</v>
      </c>
      <c r="G489" t="s">
        <v>22</v>
      </c>
      <c r="H489">
        <v>1</v>
      </c>
      <c r="I489">
        <v>138.41</v>
      </c>
      <c r="J489">
        <v>0.15</v>
      </c>
      <c r="K489" t="s">
        <v>23</v>
      </c>
      <c r="L489">
        <v>110.91</v>
      </c>
      <c r="M489">
        <f t="shared" si="21"/>
        <v>117.6485</v>
      </c>
      <c r="N489">
        <f t="shared" si="22"/>
        <v>6.7385000000000019</v>
      </c>
      <c r="O489" t="str">
        <f t="shared" si="23"/>
        <v>East</v>
      </c>
    </row>
    <row r="490" spans="1:15" x14ac:dyDescent="0.3">
      <c r="A490" t="s">
        <v>550</v>
      </c>
      <c r="B490" s="1">
        <v>45761</v>
      </c>
      <c r="C490" t="s">
        <v>52</v>
      </c>
      <c r="D490" t="s">
        <v>20</v>
      </c>
      <c r="E490" t="s">
        <v>15</v>
      </c>
      <c r="F490" t="s">
        <v>35</v>
      </c>
      <c r="G490" t="s">
        <v>49</v>
      </c>
      <c r="H490">
        <v>3</v>
      </c>
      <c r="I490">
        <v>886.43</v>
      </c>
      <c r="J490">
        <v>0.15</v>
      </c>
      <c r="K490" t="s">
        <v>53</v>
      </c>
      <c r="L490">
        <v>592.6</v>
      </c>
      <c r="M490">
        <f t="shared" si="21"/>
        <v>2260.3964999999998</v>
      </c>
      <c r="N490">
        <f t="shared" si="22"/>
        <v>1667.7964999999999</v>
      </c>
      <c r="O490" t="str">
        <f t="shared" si="23"/>
        <v>East</v>
      </c>
    </row>
    <row r="491" spans="1:15" x14ac:dyDescent="0.3">
      <c r="A491" t="s">
        <v>551</v>
      </c>
      <c r="B491" s="1">
        <v>45676</v>
      </c>
      <c r="C491" t="s">
        <v>32</v>
      </c>
      <c r="D491" t="s">
        <v>64</v>
      </c>
      <c r="E491" t="s">
        <v>34</v>
      </c>
      <c r="F491" t="s">
        <v>21</v>
      </c>
      <c r="G491" t="s">
        <v>22</v>
      </c>
      <c r="H491">
        <v>4</v>
      </c>
      <c r="I491">
        <v>93.71</v>
      </c>
      <c r="J491">
        <v>0.2</v>
      </c>
      <c r="K491" t="s">
        <v>53</v>
      </c>
      <c r="L491">
        <v>55.83</v>
      </c>
      <c r="M491">
        <f t="shared" si="21"/>
        <v>299.87200000000001</v>
      </c>
      <c r="N491">
        <f t="shared" si="22"/>
        <v>244.04200000000003</v>
      </c>
      <c r="O491" t="str">
        <f t="shared" si="23"/>
        <v>South</v>
      </c>
    </row>
    <row r="492" spans="1:15" x14ac:dyDescent="0.3">
      <c r="A492" t="s">
        <v>552</v>
      </c>
      <c r="B492" s="1">
        <v>45860</v>
      </c>
      <c r="C492" t="s">
        <v>55</v>
      </c>
      <c r="D492" t="s">
        <v>33</v>
      </c>
      <c r="E492" t="s">
        <v>34</v>
      </c>
      <c r="F492" t="s">
        <v>21</v>
      </c>
      <c r="G492" t="s">
        <v>17</v>
      </c>
      <c r="H492">
        <v>5</v>
      </c>
      <c r="I492">
        <v>52.16</v>
      </c>
      <c r="J492">
        <v>0.15</v>
      </c>
      <c r="K492" t="s">
        <v>53</v>
      </c>
      <c r="L492">
        <v>33.659999999999997</v>
      </c>
      <c r="M492">
        <f t="shared" si="21"/>
        <v>221.67999999999995</v>
      </c>
      <c r="N492">
        <f t="shared" si="22"/>
        <v>188.01999999999995</v>
      </c>
      <c r="O492" t="str">
        <f t="shared" si="23"/>
        <v>South</v>
      </c>
    </row>
    <row r="493" spans="1:15" x14ac:dyDescent="0.3">
      <c r="A493" t="s">
        <v>553</v>
      </c>
      <c r="B493" s="1">
        <v>45944</v>
      </c>
      <c r="C493" t="s">
        <v>60</v>
      </c>
      <c r="D493" t="s">
        <v>14</v>
      </c>
      <c r="E493" t="s">
        <v>15</v>
      </c>
      <c r="F493" t="s">
        <v>35</v>
      </c>
      <c r="G493" t="s">
        <v>29</v>
      </c>
      <c r="H493">
        <v>9</v>
      </c>
      <c r="I493">
        <v>667.67</v>
      </c>
      <c r="J493">
        <v>0.1</v>
      </c>
      <c r="K493" t="s">
        <v>30</v>
      </c>
      <c r="L493">
        <v>498.12</v>
      </c>
      <c r="M493">
        <f t="shared" si="21"/>
        <v>5408.1269999999995</v>
      </c>
      <c r="N493">
        <f t="shared" si="22"/>
        <v>4910.0069999999996</v>
      </c>
      <c r="O493" t="str">
        <f t="shared" si="23"/>
        <v>East</v>
      </c>
    </row>
    <row r="494" spans="1:15" x14ac:dyDescent="0.3">
      <c r="A494" t="s">
        <v>554</v>
      </c>
      <c r="B494" s="1">
        <v>45952</v>
      </c>
      <c r="C494" t="s">
        <v>85</v>
      </c>
      <c r="D494" t="s">
        <v>70</v>
      </c>
      <c r="E494" t="s">
        <v>34</v>
      </c>
      <c r="F494" t="s">
        <v>35</v>
      </c>
      <c r="G494" t="s">
        <v>49</v>
      </c>
      <c r="H494">
        <v>4</v>
      </c>
      <c r="I494">
        <v>70.48</v>
      </c>
      <c r="J494">
        <v>0.15</v>
      </c>
      <c r="K494" t="s">
        <v>18</v>
      </c>
      <c r="L494">
        <v>56.46</v>
      </c>
      <c r="M494">
        <f t="shared" si="21"/>
        <v>239.63200000000001</v>
      </c>
      <c r="N494">
        <f t="shared" si="22"/>
        <v>183.172</v>
      </c>
      <c r="O494" t="str">
        <f t="shared" si="23"/>
        <v>East</v>
      </c>
    </row>
    <row r="495" spans="1:15" x14ac:dyDescent="0.3">
      <c r="A495" t="s">
        <v>555</v>
      </c>
      <c r="B495" s="1">
        <v>45717</v>
      </c>
      <c r="C495" t="s">
        <v>52</v>
      </c>
      <c r="D495" t="s">
        <v>46</v>
      </c>
      <c r="E495" t="s">
        <v>15</v>
      </c>
      <c r="F495" t="s">
        <v>35</v>
      </c>
      <c r="G495" t="s">
        <v>17</v>
      </c>
      <c r="H495">
        <v>2</v>
      </c>
      <c r="I495">
        <v>231.94</v>
      </c>
      <c r="J495">
        <v>0.2</v>
      </c>
      <c r="K495" t="s">
        <v>23</v>
      </c>
      <c r="L495">
        <v>145.99</v>
      </c>
      <c r="M495">
        <f t="shared" si="21"/>
        <v>371.10400000000004</v>
      </c>
      <c r="N495">
        <f t="shared" si="22"/>
        <v>225.11400000000003</v>
      </c>
      <c r="O495" t="str">
        <f t="shared" si="23"/>
        <v>East</v>
      </c>
    </row>
    <row r="496" spans="1:15" x14ac:dyDescent="0.3">
      <c r="A496" t="s">
        <v>556</v>
      </c>
      <c r="B496" s="1">
        <v>45782</v>
      </c>
      <c r="C496" t="s">
        <v>67</v>
      </c>
      <c r="D496" t="s">
        <v>43</v>
      </c>
      <c r="E496" t="s">
        <v>15</v>
      </c>
      <c r="F496" t="s">
        <v>28</v>
      </c>
      <c r="G496" t="s">
        <v>22</v>
      </c>
      <c r="H496">
        <v>7</v>
      </c>
      <c r="I496">
        <v>323.55</v>
      </c>
      <c r="J496">
        <v>0.2</v>
      </c>
      <c r="K496" t="s">
        <v>18</v>
      </c>
      <c r="L496">
        <v>220.2</v>
      </c>
      <c r="M496">
        <f t="shared" si="21"/>
        <v>1811.88</v>
      </c>
      <c r="N496">
        <f t="shared" si="22"/>
        <v>1591.68</v>
      </c>
      <c r="O496" t="str">
        <f t="shared" si="23"/>
        <v>West</v>
      </c>
    </row>
    <row r="497" spans="1:15" x14ac:dyDescent="0.3">
      <c r="A497" t="s">
        <v>557</v>
      </c>
      <c r="B497" s="1">
        <v>45853</v>
      </c>
      <c r="C497" t="s">
        <v>69</v>
      </c>
      <c r="D497" t="s">
        <v>64</v>
      </c>
      <c r="E497" t="s">
        <v>34</v>
      </c>
      <c r="F497" t="s">
        <v>21</v>
      </c>
      <c r="G497" t="s">
        <v>29</v>
      </c>
      <c r="H497">
        <v>8</v>
      </c>
      <c r="I497">
        <v>134.13</v>
      </c>
      <c r="J497">
        <v>0</v>
      </c>
      <c r="K497" t="s">
        <v>18</v>
      </c>
      <c r="L497">
        <v>83.11</v>
      </c>
      <c r="M497">
        <f t="shared" si="21"/>
        <v>1073.04</v>
      </c>
      <c r="N497">
        <f t="shared" si="22"/>
        <v>989.93</v>
      </c>
      <c r="O497" t="str">
        <f t="shared" si="23"/>
        <v>South</v>
      </c>
    </row>
    <row r="498" spans="1:15" x14ac:dyDescent="0.3">
      <c r="A498" t="s">
        <v>558</v>
      </c>
      <c r="B498" s="1">
        <v>45705</v>
      </c>
      <c r="C498" t="s">
        <v>55</v>
      </c>
      <c r="D498" t="s">
        <v>39</v>
      </c>
      <c r="E498" t="s">
        <v>27</v>
      </c>
      <c r="F498" t="s">
        <v>35</v>
      </c>
      <c r="G498" t="s">
        <v>40</v>
      </c>
      <c r="H498">
        <v>1</v>
      </c>
      <c r="I498">
        <v>238.8</v>
      </c>
      <c r="J498">
        <v>0.1</v>
      </c>
      <c r="K498" t="s">
        <v>23</v>
      </c>
      <c r="L498">
        <v>147.35</v>
      </c>
      <c r="M498">
        <f t="shared" si="21"/>
        <v>214.92000000000002</v>
      </c>
      <c r="N498">
        <f t="shared" si="22"/>
        <v>67.570000000000022</v>
      </c>
      <c r="O498" t="str">
        <f t="shared" si="23"/>
        <v>East</v>
      </c>
    </row>
    <row r="499" spans="1:15" x14ac:dyDescent="0.3">
      <c r="A499" t="s">
        <v>559</v>
      </c>
      <c r="B499" s="1">
        <v>45795</v>
      </c>
      <c r="C499" t="s">
        <v>25</v>
      </c>
      <c r="D499" t="s">
        <v>33</v>
      </c>
      <c r="E499" t="s">
        <v>34</v>
      </c>
      <c r="F499" t="s">
        <v>21</v>
      </c>
      <c r="G499" t="s">
        <v>65</v>
      </c>
      <c r="H499">
        <v>6</v>
      </c>
      <c r="I499">
        <v>106.72</v>
      </c>
      <c r="J499">
        <v>0.05</v>
      </c>
      <c r="K499" t="s">
        <v>44</v>
      </c>
      <c r="L499">
        <v>84.47</v>
      </c>
      <c r="M499">
        <f t="shared" si="21"/>
        <v>608.30399999999986</v>
      </c>
      <c r="N499">
        <f t="shared" si="22"/>
        <v>523.83399999999983</v>
      </c>
      <c r="O499" t="str">
        <f t="shared" si="23"/>
        <v>South</v>
      </c>
    </row>
    <row r="500" spans="1:15" x14ac:dyDescent="0.3">
      <c r="A500" t="s">
        <v>560</v>
      </c>
      <c r="B500" s="1">
        <v>45785</v>
      </c>
      <c r="C500" t="s">
        <v>104</v>
      </c>
      <c r="D500" t="s">
        <v>70</v>
      </c>
      <c r="E500" t="s">
        <v>34</v>
      </c>
      <c r="F500" t="s">
        <v>35</v>
      </c>
      <c r="G500" t="s">
        <v>49</v>
      </c>
      <c r="H500">
        <v>5</v>
      </c>
      <c r="I500">
        <v>80.16</v>
      </c>
      <c r="J500">
        <v>0.05</v>
      </c>
      <c r="K500" t="s">
        <v>53</v>
      </c>
      <c r="L500">
        <v>49.05</v>
      </c>
      <c r="M500">
        <f t="shared" si="21"/>
        <v>380.75999999999993</v>
      </c>
      <c r="N500">
        <f t="shared" si="22"/>
        <v>331.70999999999992</v>
      </c>
      <c r="O500" t="str">
        <f t="shared" si="23"/>
        <v>East</v>
      </c>
    </row>
    <row r="501" spans="1:15" x14ac:dyDescent="0.3">
      <c r="A501" t="s">
        <v>561</v>
      </c>
      <c r="B501" s="1">
        <v>45935</v>
      </c>
      <c r="C501" t="s">
        <v>125</v>
      </c>
      <c r="D501" t="s">
        <v>14</v>
      </c>
      <c r="E501" t="s">
        <v>15</v>
      </c>
      <c r="F501" t="s">
        <v>28</v>
      </c>
      <c r="G501" t="s">
        <v>29</v>
      </c>
      <c r="H501">
        <v>8</v>
      </c>
      <c r="I501">
        <v>668.08</v>
      </c>
      <c r="J501">
        <v>0.2</v>
      </c>
      <c r="K501" t="s">
        <v>23</v>
      </c>
      <c r="L501">
        <v>368.64</v>
      </c>
      <c r="M501">
        <f t="shared" si="21"/>
        <v>4275.7120000000004</v>
      </c>
      <c r="N501">
        <f t="shared" si="22"/>
        <v>3907.0720000000006</v>
      </c>
      <c r="O501" t="str">
        <f t="shared" si="23"/>
        <v>West</v>
      </c>
    </row>
  </sheetData>
  <conditionalFormatting sqref="A1:A501 A503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E50A-FF73-4DE1-A3C6-FBF283EE87F6}">
  <dimension ref="A1:B7"/>
  <sheetViews>
    <sheetView workbookViewId="0">
      <selection activeCell="C8" sqref="C8"/>
    </sheetView>
  </sheetViews>
  <sheetFormatPr defaultRowHeight="14.4" x14ac:dyDescent="0.3"/>
  <cols>
    <col min="1" max="1" width="29.6640625" customWidth="1"/>
  </cols>
  <sheetData>
    <row r="1" spans="1:2" x14ac:dyDescent="0.3">
      <c r="A1" t="s">
        <v>566</v>
      </c>
    </row>
    <row r="3" spans="1:2" x14ac:dyDescent="0.3">
      <c r="A3" t="s">
        <v>567</v>
      </c>
      <c r="B3">
        <f>SUM('Raw Data'!M2:M501)</f>
        <v>698365.94849999982</v>
      </c>
    </row>
    <row r="4" spans="1:2" x14ac:dyDescent="0.3">
      <c r="A4" t="s">
        <v>568</v>
      </c>
      <c r="B4">
        <f>SUM('Raw Data'!L2:L501)</f>
        <v>93667.260000000009</v>
      </c>
    </row>
    <row r="5" spans="1:2" x14ac:dyDescent="0.3">
      <c r="A5" t="s">
        <v>569</v>
      </c>
      <c r="B5">
        <f>SUM('Raw Data'!N2:N501)</f>
        <v>604698.68849999993</v>
      </c>
    </row>
    <row r="6" spans="1:2" x14ac:dyDescent="0.3">
      <c r="A6" t="s">
        <v>570</v>
      </c>
      <c r="B6">
        <f>COUNTA('Raw Data'!A2:A501)</f>
        <v>500</v>
      </c>
    </row>
    <row r="7" spans="1:2" x14ac:dyDescent="0.3">
      <c r="A7" t="s">
        <v>571</v>
      </c>
      <c r="B7">
        <f>B3/B6</f>
        <v>1396.7318969999997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B6A7-5CE0-4D17-A329-D11B36B2CEDB}">
  <dimension ref="A1:B71"/>
  <sheetViews>
    <sheetView topLeftCell="A48" workbookViewId="0">
      <selection activeCell="A55" sqref="A55:B60"/>
    </sheetView>
  </sheetViews>
  <sheetFormatPr defaultRowHeight="14.4" x14ac:dyDescent="0.3"/>
  <cols>
    <col min="1" max="1" width="12.44140625" bestFit="1" customWidth="1"/>
    <col min="2" max="2" width="14" customWidth="1"/>
  </cols>
  <sheetData>
    <row r="1" spans="1:2" x14ac:dyDescent="0.3">
      <c r="A1" s="3" t="s">
        <v>572</v>
      </c>
      <c r="B1" t="s">
        <v>574</v>
      </c>
    </row>
    <row r="2" spans="1:2" x14ac:dyDescent="0.3">
      <c r="A2" s="4" t="s">
        <v>35</v>
      </c>
      <c r="B2" s="5">
        <v>176860.0990000001</v>
      </c>
    </row>
    <row r="3" spans="1:2" x14ac:dyDescent="0.3">
      <c r="A3" s="4" t="s">
        <v>16</v>
      </c>
      <c r="B3" s="5">
        <v>160711.47850000014</v>
      </c>
    </row>
    <row r="4" spans="1:2" x14ac:dyDescent="0.3">
      <c r="A4" s="4" t="s">
        <v>21</v>
      </c>
      <c r="B4" s="5">
        <v>185554.28799999991</v>
      </c>
    </row>
    <row r="5" spans="1:2" x14ac:dyDescent="0.3">
      <c r="A5" s="4" t="s">
        <v>28</v>
      </c>
      <c r="B5" s="5">
        <v>175240.08299999996</v>
      </c>
    </row>
    <row r="6" spans="1:2" x14ac:dyDescent="0.3">
      <c r="A6" s="4" t="s">
        <v>573</v>
      </c>
      <c r="B6" s="5">
        <v>698365.94850000017</v>
      </c>
    </row>
    <row r="10" spans="1:2" x14ac:dyDescent="0.3">
      <c r="A10" s="3" t="s">
        <v>572</v>
      </c>
      <c r="B10" t="s">
        <v>576</v>
      </c>
    </row>
    <row r="11" spans="1:2" x14ac:dyDescent="0.3">
      <c r="A11" s="4" t="s">
        <v>35</v>
      </c>
      <c r="B11" s="5">
        <v>151779.86900000004</v>
      </c>
    </row>
    <row r="12" spans="1:2" x14ac:dyDescent="0.3">
      <c r="A12" s="4" t="s">
        <v>16</v>
      </c>
      <c r="B12" s="5">
        <v>139399.55849999998</v>
      </c>
    </row>
    <row r="13" spans="1:2" x14ac:dyDescent="0.3">
      <c r="A13" s="4" t="s">
        <v>21</v>
      </c>
      <c r="B13" s="5">
        <v>160334.098</v>
      </c>
    </row>
    <row r="14" spans="1:2" x14ac:dyDescent="0.3">
      <c r="A14" s="4" t="s">
        <v>28</v>
      </c>
      <c r="B14" s="5">
        <v>153185.16299999997</v>
      </c>
    </row>
    <row r="15" spans="1:2" x14ac:dyDescent="0.3">
      <c r="A15" s="4" t="s">
        <v>573</v>
      </c>
      <c r="B15" s="5">
        <v>604698.68849999993</v>
      </c>
    </row>
    <row r="18" spans="1:2" x14ac:dyDescent="0.3">
      <c r="A18" s="3" t="s">
        <v>572</v>
      </c>
      <c r="B18" t="s">
        <v>574</v>
      </c>
    </row>
    <row r="19" spans="1:2" x14ac:dyDescent="0.3">
      <c r="A19" s="4" t="s">
        <v>34</v>
      </c>
      <c r="B19" s="5">
        <v>89033.257500000007</v>
      </c>
    </row>
    <row r="20" spans="1:2" x14ac:dyDescent="0.3">
      <c r="A20" s="4" t="s">
        <v>15</v>
      </c>
      <c r="B20" s="5">
        <v>513345.08649999986</v>
      </c>
    </row>
    <row r="21" spans="1:2" x14ac:dyDescent="0.3">
      <c r="A21" s="4" t="s">
        <v>27</v>
      </c>
      <c r="B21" s="5">
        <v>95987.604499999987</v>
      </c>
    </row>
    <row r="22" spans="1:2" x14ac:dyDescent="0.3">
      <c r="A22" s="4" t="s">
        <v>573</v>
      </c>
      <c r="B22" s="5">
        <v>698365.94849999982</v>
      </c>
    </row>
    <row r="26" spans="1:2" x14ac:dyDescent="0.3">
      <c r="A26" s="3" t="s">
        <v>572</v>
      </c>
      <c r="B26" t="s">
        <v>576</v>
      </c>
    </row>
    <row r="27" spans="1:2" x14ac:dyDescent="0.3">
      <c r="A27" s="4" t="s">
        <v>34</v>
      </c>
      <c r="B27" s="5">
        <v>77233.237500000003</v>
      </c>
    </row>
    <row r="28" spans="1:2" x14ac:dyDescent="0.3">
      <c r="A28" s="4" t="s">
        <v>15</v>
      </c>
      <c r="B28" s="5">
        <v>444673.88649999996</v>
      </c>
    </row>
    <row r="29" spans="1:2" x14ac:dyDescent="0.3">
      <c r="A29" s="4" t="s">
        <v>27</v>
      </c>
      <c r="B29" s="5">
        <v>82791.564499999993</v>
      </c>
    </row>
    <row r="30" spans="1:2" x14ac:dyDescent="0.3">
      <c r="A30" s="4" t="s">
        <v>573</v>
      </c>
      <c r="B30" s="5">
        <v>604698.68849999993</v>
      </c>
    </row>
    <row r="34" spans="1:2" x14ac:dyDescent="0.3">
      <c r="A34" s="3" t="s">
        <v>572</v>
      </c>
      <c r="B34" t="s">
        <v>574</v>
      </c>
    </row>
    <row r="35" spans="1:2" x14ac:dyDescent="0.3">
      <c r="A35" s="4" t="s">
        <v>40</v>
      </c>
      <c r="B35" s="5">
        <v>106030.48449999998</v>
      </c>
    </row>
    <row r="36" spans="1:2" x14ac:dyDescent="0.3">
      <c r="A36" s="4" t="s">
        <v>22</v>
      </c>
      <c r="B36" s="5">
        <v>129112.69800000002</v>
      </c>
    </row>
    <row r="37" spans="1:2" x14ac:dyDescent="0.3">
      <c r="A37" s="4" t="s">
        <v>49</v>
      </c>
      <c r="B37" s="5">
        <v>139735.30450000009</v>
      </c>
    </row>
    <row r="38" spans="1:2" x14ac:dyDescent="0.3">
      <c r="A38" s="4" t="s">
        <v>29</v>
      </c>
      <c r="B38" s="5">
        <v>107437.17500000003</v>
      </c>
    </row>
    <row r="39" spans="1:2" x14ac:dyDescent="0.3">
      <c r="A39" s="4" t="s">
        <v>65</v>
      </c>
      <c r="B39" s="5">
        <v>100357.79350000006</v>
      </c>
    </row>
    <row r="40" spans="1:2" x14ac:dyDescent="0.3">
      <c r="A40" s="4" t="s">
        <v>17</v>
      </c>
      <c r="B40" s="5">
        <v>115692.49299999999</v>
      </c>
    </row>
    <row r="41" spans="1:2" x14ac:dyDescent="0.3">
      <c r="A41" s="4" t="s">
        <v>573</v>
      </c>
      <c r="B41" s="5">
        <v>698365.94850000017</v>
      </c>
    </row>
    <row r="44" spans="1:2" x14ac:dyDescent="0.3">
      <c r="A44" s="3" t="s">
        <v>572</v>
      </c>
      <c r="B44" t="s">
        <v>576</v>
      </c>
    </row>
    <row r="45" spans="1:2" x14ac:dyDescent="0.3">
      <c r="A45" s="4" t="s">
        <v>40</v>
      </c>
      <c r="B45" s="5">
        <v>92087.224500000026</v>
      </c>
    </row>
    <row r="46" spans="1:2" x14ac:dyDescent="0.3">
      <c r="A46" s="4" t="s">
        <v>22</v>
      </c>
      <c r="B46" s="5">
        <v>111630.49799999999</v>
      </c>
    </row>
    <row r="47" spans="1:2" x14ac:dyDescent="0.3">
      <c r="A47" s="4" t="s">
        <v>49</v>
      </c>
      <c r="B47" s="5">
        <v>121285.69450000006</v>
      </c>
    </row>
    <row r="48" spans="1:2" x14ac:dyDescent="0.3">
      <c r="A48" s="4" t="s">
        <v>29</v>
      </c>
      <c r="B48" s="5">
        <v>93636.955000000031</v>
      </c>
    </row>
    <row r="49" spans="1:2" x14ac:dyDescent="0.3">
      <c r="A49" s="4" t="s">
        <v>65</v>
      </c>
      <c r="B49" s="5">
        <v>85275.193499999965</v>
      </c>
    </row>
    <row r="50" spans="1:2" x14ac:dyDescent="0.3">
      <c r="A50" s="4" t="s">
        <v>17</v>
      </c>
      <c r="B50" s="5">
        <v>100783.12300000001</v>
      </c>
    </row>
    <row r="51" spans="1:2" x14ac:dyDescent="0.3">
      <c r="A51" s="4" t="s">
        <v>573</v>
      </c>
      <c r="B51" s="5">
        <v>604698.68850000005</v>
      </c>
    </row>
    <row r="54" spans="1:2" x14ac:dyDescent="0.3">
      <c r="A54" s="3" t="s">
        <v>572</v>
      </c>
      <c r="B54" t="s">
        <v>574</v>
      </c>
    </row>
    <row r="55" spans="1:2" x14ac:dyDescent="0.3">
      <c r="A55" s="4" t="s">
        <v>23</v>
      </c>
      <c r="B55" s="5">
        <v>150162.40100000004</v>
      </c>
    </row>
    <row r="56" spans="1:2" x14ac:dyDescent="0.3">
      <c r="A56" s="4" t="s">
        <v>53</v>
      </c>
      <c r="B56" s="5">
        <v>114884.83100000002</v>
      </c>
    </row>
    <row r="57" spans="1:2" x14ac:dyDescent="0.3">
      <c r="A57" s="4" t="s">
        <v>30</v>
      </c>
      <c r="B57" s="5">
        <v>130688.80300000001</v>
      </c>
    </row>
    <row r="58" spans="1:2" x14ac:dyDescent="0.3">
      <c r="A58" s="4" t="s">
        <v>18</v>
      </c>
      <c r="B58" s="5">
        <v>170398.9265</v>
      </c>
    </row>
    <row r="59" spans="1:2" x14ac:dyDescent="0.3">
      <c r="A59" s="4" t="s">
        <v>563</v>
      </c>
      <c r="B59" s="5">
        <v>843.91199999999992</v>
      </c>
    </row>
    <row r="60" spans="1:2" x14ac:dyDescent="0.3">
      <c r="A60" s="4" t="s">
        <v>44</v>
      </c>
      <c r="B60" s="5">
        <v>131387.07500000001</v>
      </c>
    </row>
    <row r="61" spans="1:2" x14ac:dyDescent="0.3">
      <c r="A61" s="4" t="s">
        <v>573</v>
      </c>
      <c r="B61" s="5">
        <v>698365.94850000017</v>
      </c>
    </row>
    <row r="64" spans="1:2" x14ac:dyDescent="0.3">
      <c r="A64" s="3" t="s">
        <v>572</v>
      </c>
      <c r="B64" t="s">
        <v>576</v>
      </c>
    </row>
    <row r="65" spans="1:2" x14ac:dyDescent="0.3">
      <c r="A65" s="4" t="s">
        <v>23</v>
      </c>
      <c r="B65" s="5">
        <v>133068.77100000001</v>
      </c>
    </row>
    <row r="66" spans="1:2" x14ac:dyDescent="0.3">
      <c r="A66" s="4" t="s">
        <v>53</v>
      </c>
      <c r="B66" s="5">
        <v>98248.330999999991</v>
      </c>
    </row>
    <row r="67" spans="1:2" x14ac:dyDescent="0.3">
      <c r="A67" s="4" t="s">
        <v>30</v>
      </c>
      <c r="B67" s="5">
        <v>111720.78299999998</v>
      </c>
    </row>
    <row r="68" spans="1:2" x14ac:dyDescent="0.3">
      <c r="A68" s="4" t="s">
        <v>18</v>
      </c>
      <c r="B68" s="5">
        <v>148119.22649999996</v>
      </c>
    </row>
    <row r="69" spans="1:2" x14ac:dyDescent="0.3">
      <c r="A69" s="4" t="s">
        <v>563</v>
      </c>
      <c r="B69" s="5">
        <v>766.52199999999993</v>
      </c>
    </row>
    <row r="70" spans="1:2" x14ac:dyDescent="0.3">
      <c r="A70" s="4" t="s">
        <v>44</v>
      </c>
      <c r="B70" s="5">
        <v>112775.05500000005</v>
      </c>
    </row>
    <row r="71" spans="1:2" x14ac:dyDescent="0.3">
      <c r="A71" s="4" t="s">
        <v>573</v>
      </c>
      <c r="B71" s="5">
        <v>604698.68850000005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2966-85E7-4042-A09C-516DC2AEB6CC}">
  <dimension ref="A1:L64"/>
  <sheetViews>
    <sheetView showGridLines="0" tabSelected="1" topLeftCell="A63" workbookViewId="0">
      <selection activeCell="N61" sqref="N61"/>
    </sheetView>
  </sheetViews>
  <sheetFormatPr defaultRowHeight="14.4" x14ac:dyDescent="0.3"/>
  <cols>
    <col min="1" max="2" width="8.88671875" customWidth="1"/>
  </cols>
  <sheetData>
    <row r="1" spans="1:12" x14ac:dyDescent="0.3">
      <c r="A1" s="7" t="s">
        <v>577</v>
      </c>
      <c r="B1" s="6"/>
      <c r="C1" s="6"/>
      <c r="D1" s="6"/>
      <c r="E1" s="6"/>
      <c r="F1" s="6"/>
      <c r="G1" s="6"/>
      <c r="H1" s="6"/>
      <c r="I1" s="6"/>
      <c r="J1" s="6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4" spans="1:12" x14ac:dyDescent="0.3">
      <c r="B4" s="8" t="s">
        <v>578</v>
      </c>
      <c r="C4" s="9"/>
      <c r="D4" s="9"/>
      <c r="F4" s="8" t="s">
        <v>579</v>
      </c>
      <c r="G4" s="9"/>
      <c r="H4" s="9"/>
      <c r="J4" s="8" t="s">
        <v>580</v>
      </c>
      <c r="K4" s="10"/>
      <c r="L4" s="10"/>
    </row>
    <row r="5" spans="1:12" x14ac:dyDescent="0.3">
      <c r="B5" s="9"/>
      <c r="C5" s="9"/>
      <c r="D5" s="9"/>
      <c r="F5" s="9"/>
      <c r="G5" s="9"/>
      <c r="H5" s="9"/>
      <c r="J5" s="10"/>
      <c r="K5" s="10"/>
      <c r="L5" s="10"/>
    </row>
    <row r="6" spans="1:12" x14ac:dyDescent="0.3">
      <c r="B6" s="9"/>
      <c r="C6" s="9"/>
      <c r="D6" s="9"/>
      <c r="F6" s="9"/>
      <c r="G6" s="9"/>
      <c r="H6" s="9"/>
      <c r="J6" s="10"/>
      <c r="K6" s="10"/>
      <c r="L6" s="10"/>
    </row>
    <row r="8" spans="1:12" x14ac:dyDescent="0.3">
      <c r="B8" s="8" t="s">
        <v>582</v>
      </c>
      <c r="C8" s="9"/>
      <c r="D8" s="9"/>
    </row>
    <row r="9" spans="1:12" x14ac:dyDescent="0.3">
      <c r="B9" s="9"/>
      <c r="C9" s="9"/>
      <c r="D9" s="9"/>
    </row>
    <row r="10" spans="1:12" x14ac:dyDescent="0.3">
      <c r="B10" s="9"/>
      <c r="C10" s="9"/>
      <c r="D10" s="9"/>
    </row>
    <row r="59" spans="2:12" ht="21" x14ac:dyDescent="0.4">
      <c r="B59" s="11" t="s">
        <v>581</v>
      </c>
    </row>
    <row r="60" spans="2:12" ht="15.6" x14ac:dyDescent="0.3">
      <c r="B60" s="12" t="s">
        <v>583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2:12" ht="158.4" customHeight="1" x14ac:dyDescent="0.3">
      <c r="B61" s="12" t="s">
        <v>584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2:12" ht="187.2" customHeight="1" x14ac:dyDescent="0.3">
      <c r="B62" s="12" t="s">
        <v>585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2:12" ht="201.6" customHeight="1" x14ac:dyDescent="0.3">
      <c r="B63" s="12" t="s">
        <v>586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ht="230.4" customHeight="1" x14ac:dyDescent="0.3">
      <c r="B64" s="12" t="s">
        <v>587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</sheetData>
  <mergeCells count="5">
    <mergeCell ref="A1:J2"/>
    <mergeCell ref="B4:D6"/>
    <mergeCell ref="F4:H6"/>
    <mergeCell ref="J4:L6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Calculations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 SK</dc:creator>
  <cp:lastModifiedBy>Sajin SK</cp:lastModifiedBy>
  <dcterms:created xsi:type="dcterms:W3CDTF">2026-08-09T07:52:00Z</dcterms:created>
  <dcterms:modified xsi:type="dcterms:W3CDTF">2026-08-09T10:09:16Z</dcterms:modified>
</cp:coreProperties>
</file>